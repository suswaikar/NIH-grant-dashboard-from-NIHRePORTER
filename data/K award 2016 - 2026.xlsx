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bushare-my.sharepoint.com/personal/coflynn_bu_edu/Documents/"/>
    </mc:Choice>
  </mc:AlternateContent>
  <xr:revisionPtr revIDLastSave="0" documentId="11_38E14E418A9A473B47366913543D8F645CEF0DEA" xr6:coauthVersionLast="47" xr6:coauthVersionMax="47" xr10:uidLastSave="{00000000-0000-0000-0000-000000000000}"/>
  <bookViews>
    <workbookView xWindow="-110" yWindow="-110" windowWidth="19420" windowHeight="11620" firstSheet="10" activeTab="10" xr2:uid="{00000000-000D-0000-FFFF-FFFF00000000}"/>
  </bookViews>
  <sheets>
    <sheet name="FY2016" sheetId="3" r:id="rId1"/>
    <sheet name="FY2017" sheetId="2" r:id="rId2"/>
    <sheet name="FY2018" sheetId="1" r:id="rId3"/>
    <sheet name="FY2019" sheetId="4" r:id="rId4"/>
    <sheet name="FY2020" sheetId="5" r:id="rId5"/>
    <sheet name="FY2021" sheetId="6" r:id="rId6"/>
    <sheet name="FY2022" sheetId="7" r:id="rId7"/>
    <sheet name="FY2023" sheetId="8" r:id="rId8"/>
    <sheet name="FY2024" sheetId="9" r:id="rId9"/>
    <sheet name="FY2025" sheetId="10" r:id="rId10"/>
    <sheet name="FY2026" sheetId="11" r:id="rId11"/>
  </sheets>
  <definedNames>
    <definedName name="_xlnm._FilterDatabase" localSheetId="4" hidden="1">'FY2020'!$L$1:$L$10</definedName>
    <definedName name="_xlnm._FilterDatabase" localSheetId="6" hidden="1">'FY2022'!$A$2:$Z$16</definedName>
    <definedName name="_xlnm._FilterDatabase" localSheetId="7" hidden="1">'FY2023'!$A$2:$Z$18</definedName>
    <definedName name="_xlnm._FilterDatabase" localSheetId="8" hidden="1">'FY2024'!$A$3:$AI$25</definedName>
    <definedName name="_xlnm._FilterDatabase" localSheetId="9" hidden="1">'FY2025'!$A$2:$Z$15</definedName>
    <definedName name="_xlnm._FilterDatabase" localSheetId="10" hidden="1">'FY2026'!$A$2:$AB$25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0" i="11" l="1"/>
  <c r="AE27" i="11"/>
  <c r="AJ25" i="11"/>
  <c r="Z25" i="11"/>
  <c r="AJ24" i="11"/>
  <c r="Z24" i="11"/>
  <c r="Z23" i="11"/>
  <c r="Z22" i="11"/>
  <c r="AA22" i="11" s="1"/>
  <c r="AB22" i="11" s="1"/>
  <c r="AJ21" i="11"/>
  <c r="Z21" i="11"/>
  <c r="AJ20" i="11"/>
  <c r="Z20" i="11"/>
  <c r="AA20" i="11" s="1"/>
  <c r="AB20" i="11" s="1"/>
  <c r="AJ19" i="11"/>
  <c r="Z19" i="11"/>
  <c r="AA19" i="11" s="1"/>
  <c r="AJ18" i="11"/>
  <c r="Z18" i="11"/>
  <c r="AA18" i="11" s="1"/>
  <c r="AB18" i="11" s="1"/>
  <c r="AJ17" i="11"/>
  <c r="Z17" i="11"/>
  <c r="AJ16" i="11"/>
  <c r="Z16" i="11"/>
  <c r="AA16" i="11" s="1"/>
  <c r="AB16" i="11" s="1"/>
  <c r="AJ15" i="11"/>
  <c r="Z15" i="11"/>
  <c r="AA15" i="11" s="1"/>
  <c r="AJ14" i="11"/>
  <c r="Z14" i="11"/>
  <c r="AA14" i="11" s="1"/>
  <c r="AB14" i="11" s="1"/>
  <c r="Z13" i="11"/>
  <c r="AJ12" i="11"/>
  <c r="AA12" i="11"/>
  <c r="AB12" i="11" s="1"/>
  <c r="Z12" i="11"/>
  <c r="AJ11" i="11"/>
  <c r="Z11" i="11"/>
  <c r="AJ10" i="11"/>
  <c r="AA10" i="11"/>
  <c r="AB10" i="11" s="1"/>
  <c r="AJ9" i="11"/>
  <c r="AB9" i="11"/>
  <c r="AA9" i="11"/>
  <c r="P9" i="11"/>
  <c r="J9" i="11"/>
  <c r="AJ8" i="11"/>
  <c r="J8" i="11"/>
  <c r="Z8" i="11" s="1"/>
  <c r="AJ7" i="11"/>
  <c r="J7" i="11"/>
  <c r="Z7" i="11" s="1"/>
  <c r="AJ6" i="11"/>
  <c r="J6" i="11"/>
  <c r="Z6" i="11" s="1"/>
  <c r="AJ5" i="11"/>
  <c r="AA5" i="11"/>
  <c r="AB5" i="11" s="1"/>
  <c r="J5" i="11"/>
  <c r="AJ4" i="11"/>
  <c r="J4" i="11"/>
  <c r="Z4" i="11" s="1"/>
  <c r="AJ3" i="11"/>
  <c r="AA3" i="11"/>
  <c r="AB3" i="11" s="1"/>
  <c r="J3" i="11"/>
  <c r="AB4" i="11" l="1"/>
  <c r="AA4" i="11"/>
  <c r="Z27" i="11"/>
  <c r="AB23" i="11"/>
  <c r="AB7" i="11"/>
  <c r="AA7" i="11"/>
  <c r="AB8" i="11"/>
  <c r="AA8" i="11"/>
  <c r="AB24" i="11"/>
  <c r="AB6" i="11"/>
  <c r="AA6" i="11"/>
  <c r="AA23" i="11"/>
  <c r="AA17" i="11"/>
  <c r="AA27" i="11" s="1"/>
  <c r="AA21" i="11"/>
  <c r="AB21" i="11" s="1"/>
  <c r="AA11" i="11"/>
  <c r="AB11" i="11" s="1"/>
  <c r="AA13" i="11"/>
  <c r="AB13" i="11" s="1"/>
  <c r="AB15" i="11"/>
  <c r="AB19" i="11"/>
  <c r="AA24" i="11"/>
  <c r="AA25" i="11"/>
  <c r="AB25" i="11" s="1"/>
  <c r="AB30" i="11" l="1"/>
  <c r="AB27" i="11"/>
  <c r="AB17" i="11"/>
  <c r="X21" i="10" l="1"/>
  <c r="Y21" i="10" s="1"/>
  <c r="Z21" i="10" s="1"/>
  <c r="Y20" i="10"/>
  <c r="X20" i="10"/>
  <c r="Z20" i="10" s="1"/>
  <c r="X19" i="10"/>
  <c r="J18" i="10"/>
  <c r="X18" i="10" s="1"/>
  <c r="X17" i="10"/>
  <c r="X16" i="10"/>
  <c r="Y16" i="10" s="1"/>
  <c r="Z16" i="10" s="1"/>
  <c r="Y15" i="10"/>
  <c r="X15" i="10"/>
  <c r="Z15" i="10" s="1"/>
  <c r="X14" i="10"/>
  <c r="Y13" i="10"/>
  <c r="X13" i="10"/>
  <c r="Z13" i="10" s="1"/>
  <c r="Z12" i="10"/>
  <c r="Y12" i="10"/>
  <c r="X12" i="10"/>
  <c r="Y11" i="10"/>
  <c r="Z11" i="10" s="1"/>
  <c r="X11" i="10"/>
  <c r="X10" i="10"/>
  <c r="J10" i="10"/>
  <c r="X9" i="10"/>
  <c r="J9" i="10"/>
  <c r="X8" i="10"/>
  <c r="J8" i="10"/>
  <c r="X7" i="10"/>
  <c r="J7" i="10"/>
  <c r="X6" i="10"/>
  <c r="J6" i="10"/>
  <c r="X5" i="10"/>
  <c r="Y5" i="10" s="1"/>
  <c r="U5" i="10"/>
  <c r="P5" i="10"/>
  <c r="Y4" i="10"/>
  <c r="X4" i="10"/>
  <c r="Z4" i="10" s="1"/>
  <c r="X3" i="10"/>
  <c r="Y18" i="10" l="1"/>
  <c r="Z18" i="10" s="1"/>
  <c r="Z19" i="10"/>
  <c r="Z6" i="10"/>
  <c r="Z10" i="10"/>
  <c r="Z14" i="10"/>
  <c r="Z9" i="10"/>
  <c r="Y6" i="10"/>
  <c r="Y8" i="10"/>
  <c r="Z8" i="10" s="1"/>
  <c r="Y10" i="10"/>
  <c r="Y3" i="10"/>
  <c r="Z3" i="10" s="1"/>
  <c r="Y7" i="10"/>
  <c r="Z7" i="10" s="1"/>
  <c r="Y9" i="10"/>
  <c r="Y14" i="10"/>
  <c r="Y19" i="10"/>
  <c r="X23" i="10"/>
  <c r="Z5" i="10"/>
  <c r="Y17" i="10"/>
  <c r="Z17" i="10" s="1"/>
  <c r="Z23" i="10" l="1"/>
  <c r="Y23" i="10"/>
  <c r="AA26" i="9" l="1"/>
  <c r="AF25" i="9"/>
  <c r="Y25" i="9"/>
  <c r="AA25" i="9" s="1"/>
  <c r="AF24" i="9"/>
  <c r="Y24" i="9"/>
  <c r="AA24" i="9" s="1"/>
  <c r="AA23" i="9"/>
  <c r="AF22" i="9"/>
  <c r="Y22" i="9"/>
  <c r="AA22" i="9" s="1"/>
  <c r="AF21" i="9"/>
  <c r="Y21" i="9"/>
  <c r="AA21" i="9" s="1"/>
  <c r="J21" i="9"/>
  <c r="Y20" i="9"/>
  <c r="AF19" i="9"/>
  <c r="Y19" i="9"/>
  <c r="J19" i="9"/>
  <c r="AA19" i="9" s="1"/>
  <c r="AB18" i="9"/>
  <c r="AA18" i="9"/>
  <c r="AC18" i="9" s="1"/>
  <c r="AF17" i="9"/>
  <c r="Y17" i="9"/>
  <c r="AA17" i="9" s="1"/>
  <c r="J17" i="9"/>
  <c r="AF16" i="9"/>
  <c r="Y16" i="9"/>
  <c r="AA16" i="9" s="1"/>
  <c r="Y15" i="9"/>
  <c r="AF14" i="9"/>
  <c r="AB14" i="9"/>
  <c r="AA14" i="9"/>
  <c r="AC14" i="9" s="1"/>
  <c r="Y14" i="9"/>
  <c r="AF13" i="9"/>
  <c r="Y13" i="9"/>
  <c r="AA13" i="9" s="1"/>
  <c r="AF12" i="9"/>
  <c r="Y12" i="9"/>
  <c r="AA12" i="9" s="1"/>
  <c r="AF11" i="9"/>
  <c r="AA11" i="9"/>
  <c r="Y11" i="9"/>
  <c r="AF10" i="9"/>
  <c r="Y10" i="9"/>
  <c r="AA10" i="9" s="1"/>
  <c r="AF9" i="9"/>
  <c r="AB9" i="9"/>
  <c r="AC9" i="9" s="1"/>
  <c r="AA9" i="9"/>
  <c r="Y9" i="9"/>
  <c r="AF8" i="9"/>
  <c r="Y8" i="9"/>
  <c r="AA8" i="9" s="1"/>
  <c r="AF7" i="9"/>
  <c r="Y7" i="9"/>
  <c r="AA7" i="9" s="1"/>
  <c r="AF6" i="9"/>
  <c r="AA6" i="9"/>
  <c r="Y6" i="9"/>
  <c r="AF5" i="9"/>
  <c r="Y5" i="9"/>
  <c r="AA5" i="9" s="1"/>
  <c r="AF4" i="9"/>
  <c r="Y4" i="9"/>
  <c r="AA4" i="9" s="1"/>
  <c r="AB22" i="9" l="1"/>
  <c r="AC22" i="9" s="1"/>
  <c r="AB16" i="9"/>
  <c r="AC16" i="9" s="1"/>
  <c r="AB13" i="9"/>
  <c r="AC13" i="9" s="1"/>
  <c r="AC24" i="9"/>
  <c r="AB24" i="9"/>
  <c r="AB7" i="9"/>
  <c r="AC7" i="9" s="1"/>
  <c r="AB19" i="9"/>
  <c r="AC19" i="9" s="1"/>
  <c r="AB4" i="9"/>
  <c r="AA27" i="9"/>
  <c r="AC4" i="9"/>
  <c r="AB17" i="9"/>
  <c r="AC17" i="9" s="1"/>
  <c r="AB8" i="9"/>
  <c r="AC8" i="9" s="1"/>
  <c r="AB21" i="9"/>
  <c r="AC21" i="9" s="1"/>
  <c r="AB12" i="9"/>
  <c r="AC12" i="9"/>
  <c r="AB10" i="9"/>
  <c r="AC10" i="9" s="1"/>
  <c r="AB25" i="9"/>
  <c r="AC25" i="9"/>
  <c r="AB5" i="9"/>
  <c r="AC5" i="9"/>
  <c r="AC11" i="9"/>
  <c r="AB6" i="9"/>
  <c r="AC6" i="9" s="1"/>
  <c r="AB26" i="9"/>
  <c r="AC26" i="9" s="1"/>
  <c r="AB11" i="9"/>
  <c r="AB23" i="9"/>
  <c r="AC23" i="9" s="1"/>
  <c r="AB27" i="9" l="1"/>
  <c r="AC27" i="9"/>
  <c r="X23" i="8" l="1"/>
  <c r="Y23" i="8" s="1"/>
  <c r="Z23" i="8" s="1"/>
  <c r="X22" i="8"/>
  <c r="X21" i="8"/>
  <c r="X20" i="8"/>
  <c r="Y19" i="8"/>
  <c r="Z19" i="8" s="1"/>
  <c r="X19" i="8"/>
  <c r="J19" i="8"/>
  <c r="J18" i="8"/>
  <c r="X18" i="8" s="1"/>
  <c r="Y17" i="8"/>
  <c r="Z17" i="8" s="1"/>
  <c r="X17" i="8"/>
  <c r="J17" i="8"/>
  <c r="J16" i="8"/>
  <c r="X16" i="8" s="1"/>
  <c r="Y15" i="8"/>
  <c r="Z15" i="8" s="1"/>
  <c r="X15" i="8"/>
  <c r="Y14" i="8"/>
  <c r="X14" i="8"/>
  <c r="Z14" i="8" s="1"/>
  <c r="X13" i="8"/>
  <c r="Y13" i="8" s="1"/>
  <c r="Z12" i="8"/>
  <c r="Y12" i="8"/>
  <c r="X12" i="8"/>
  <c r="X11" i="8"/>
  <c r="Y11" i="8" s="1"/>
  <c r="Z11" i="8" s="1"/>
  <c r="X10" i="8"/>
  <c r="Y10" i="8" s="1"/>
  <c r="X9" i="8"/>
  <c r="X8" i="8"/>
  <c r="Y7" i="8"/>
  <c r="Z7" i="8" s="1"/>
  <c r="X7" i="8"/>
  <c r="J6" i="8"/>
  <c r="X6" i="8" s="1"/>
  <c r="X5" i="8"/>
  <c r="Y5" i="8" s="1"/>
  <c r="X4" i="8"/>
  <c r="X3" i="8"/>
  <c r="Z18" i="8" l="1"/>
  <c r="Y18" i="8"/>
  <c r="X25" i="8"/>
  <c r="Z16" i="8"/>
  <c r="Y16" i="8"/>
  <c r="Z20" i="8"/>
  <c r="Y6" i="8"/>
  <c r="Z6" i="8"/>
  <c r="Y22" i="8"/>
  <c r="Z22" i="8" s="1"/>
  <c r="Z5" i="8"/>
  <c r="Z10" i="8"/>
  <c r="Y3" i="8"/>
  <c r="Y25" i="8" s="1"/>
  <c r="Y8" i="8"/>
  <c r="Z8" i="8" s="1"/>
  <c r="Z13" i="8"/>
  <c r="Y20" i="8"/>
  <c r="Y4" i="8"/>
  <c r="Z4" i="8" s="1"/>
  <c r="Y9" i="8"/>
  <c r="Z9" i="8" s="1"/>
  <c r="Y21" i="8"/>
  <c r="Z21" i="8" s="1"/>
  <c r="Z3" i="8" l="1"/>
  <c r="Z25" i="8" s="1"/>
  <c r="X16" i="7" l="1"/>
  <c r="X15" i="7"/>
  <c r="Y15" i="7" s="1"/>
  <c r="Z15" i="7" s="1"/>
  <c r="Y14" i="7"/>
  <c r="Z14" i="7" s="1"/>
  <c r="X14" i="7"/>
  <c r="X13" i="7"/>
  <c r="X12" i="7"/>
  <c r="Z11" i="7"/>
  <c r="Y11" i="7"/>
  <c r="X11" i="7"/>
  <c r="Y10" i="7"/>
  <c r="Z10" i="7" s="1"/>
  <c r="X10" i="7"/>
  <c r="X9" i="7"/>
  <c r="X8" i="7"/>
  <c r="X7" i="7"/>
  <c r="Y6" i="7"/>
  <c r="Z6" i="7" s="1"/>
  <c r="X6" i="7"/>
  <c r="X5" i="7"/>
  <c r="Y5" i="7" s="1"/>
  <c r="X4" i="7"/>
  <c r="X18" i="7" s="1"/>
  <c r="Z3" i="7"/>
  <c r="Y3" i="7"/>
  <c r="X3" i="7"/>
  <c r="Z12" i="7" l="1"/>
  <c r="Z13" i="7"/>
  <c r="Z9" i="7"/>
  <c r="Y12" i="7"/>
  <c r="Y7" i="7"/>
  <c r="Z7" i="7" s="1"/>
  <c r="Y9" i="7"/>
  <c r="Y13" i="7"/>
  <c r="Z5" i="7"/>
  <c r="Y8" i="7"/>
  <c r="Z8" i="7" s="1"/>
  <c r="Y16" i="7"/>
  <c r="Z16" i="7" s="1"/>
  <c r="Y4" i="7"/>
  <c r="Y18" i="7" l="1"/>
  <c r="Z4" i="7"/>
  <c r="Z18" i="7" s="1"/>
  <c r="K13" i="6"/>
  <c r="K12" i="6"/>
  <c r="K11" i="6"/>
  <c r="K10" i="6"/>
  <c r="K9" i="6"/>
  <c r="K6" i="6"/>
  <c r="K5" i="6"/>
  <c r="K4" i="6"/>
  <c r="J12" i="5" l="1"/>
  <c r="K12" i="5" s="1"/>
  <c r="K11" i="5"/>
  <c r="K10" i="5"/>
  <c r="K9" i="5"/>
  <c r="K8" i="5"/>
  <c r="K7" i="5"/>
  <c r="K6" i="5"/>
  <c r="K5" i="5"/>
  <c r="K3" i="5"/>
  <c r="K2" i="5"/>
  <c r="K10" i="4" l="1"/>
  <c r="L10" i="4" s="1"/>
  <c r="M10" i="4" s="1"/>
  <c r="P10" i="4" s="1"/>
  <c r="K9" i="4"/>
  <c r="L9" i="4" s="1"/>
  <c r="M9" i="4" s="1"/>
  <c r="P9" i="4" s="1"/>
  <c r="K8" i="4"/>
  <c r="L8" i="4" s="1"/>
  <c r="M8" i="4" s="1"/>
  <c r="P8" i="4" s="1"/>
  <c r="L7" i="4"/>
  <c r="M7" i="4" s="1"/>
  <c r="L6" i="4"/>
  <c r="M6" i="4" s="1"/>
  <c r="I5" i="4"/>
  <c r="K5" i="4" s="1"/>
  <c r="I4" i="4"/>
  <c r="K4" i="4" s="1"/>
  <c r="K3" i="4"/>
  <c r="L3" i="4" s="1"/>
  <c r="M3" i="4" s="1"/>
  <c r="K2" i="4"/>
  <c r="L2" i="4" s="1"/>
  <c r="M2" i="4" s="1"/>
  <c r="L4" i="4" l="1"/>
  <c r="M4" i="4" s="1"/>
  <c r="L5" i="4"/>
  <c r="M5" i="4" s="1"/>
  <c r="D11" i="3" l="1"/>
  <c r="F11" i="3" s="1"/>
  <c r="F10" i="3"/>
  <c r="G10" i="3" s="1"/>
  <c r="F9" i="3"/>
  <c r="F7" i="3"/>
  <c r="G7" i="3" s="1"/>
  <c r="F6" i="3"/>
  <c r="G6" i="3" s="1"/>
  <c r="H6" i="3" s="1"/>
  <c r="F5" i="3"/>
  <c r="G5" i="3" s="1"/>
  <c r="H5" i="3" s="1"/>
  <c r="F4" i="3"/>
  <c r="G4" i="3" s="1"/>
  <c r="F3" i="3"/>
  <c r="E3" i="3"/>
  <c r="F2" i="3"/>
  <c r="G11" i="3" l="1"/>
  <c r="H11" i="3" s="1"/>
  <c r="G2" i="3"/>
  <c r="H2" i="3" s="1"/>
  <c r="H8" i="3" s="1"/>
  <c r="H15" i="3" s="1"/>
  <c r="H18" i="3" s="1"/>
  <c r="H10" i="3"/>
  <c r="H7" i="3"/>
  <c r="H4" i="3"/>
  <c r="G3" i="3"/>
  <c r="H3" i="3" s="1"/>
  <c r="G9" i="3"/>
  <c r="H9" i="3" s="1"/>
  <c r="H13" i="3" l="1"/>
  <c r="H16" i="3" s="1"/>
  <c r="K5" i="2" l="1"/>
  <c r="K4" i="2"/>
  <c r="L4" i="2" s="1"/>
  <c r="K3" i="2"/>
  <c r="L3" i="2" s="1"/>
  <c r="L2" i="2"/>
  <c r="K2" i="2"/>
  <c r="M4" i="2" l="1"/>
  <c r="L5" i="2"/>
  <c r="M5" i="2" s="1"/>
  <c r="K9" i="1" l="1"/>
  <c r="L8" i="1"/>
  <c r="M8" i="1" s="1"/>
  <c r="K8" i="1"/>
  <c r="K7" i="1"/>
  <c r="L7" i="1" s="1"/>
  <c r="M7" i="1" s="1"/>
  <c r="P7" i="1" s="1"/>
  <c r="J7" i="1"/>
  <c r="L6" i="1"/>
  <c r="M6" i="1" s="1"/>
  <c r="P6" i="1" s="1"/>
  <c r="K6" i="1"/>
  <c r="K5" i="1"/>
  <c r="L5" i="1" s="1"/>
  <c r="K4" i="1"/>
  <c r="K3" i="1"/>
  <c r="L3" i="1" s="1"/>
  <c r="M3" i="1" s="1"/>
  <c r="I3" i="1"/>
  <c r="K2" i="1"/>
  <c r="M4" i="1" l="1"/>
  <c r="M9" i="1"/>
  <c r="M2" i="1"/>
  <c r="M5" i="1"/>
  <c r="L4" i="1"/>
  <c r="L2" i="1"/>
  <c r="L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Wilson, Liz</author>
  </authors>
  <commentList>
    <comment ref="D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Total Salary including VA clinical work = $150,000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Lo, Tammy</author>
  </authors>
  <commentList>
    <comment ref="I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Lo, Tammy:</t>
        </r>
        <r>
          <rPr>
            <sz val="9"/>
            <color indexed="81"/>
            <rFont val="Tahoma"/>
            <family val="2"/>
          </rPr>
          <t xml:space="preserve">
**This is current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Kuo</author>
  </authors>
  <commentList>
    <comment ref="I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John Kuo:</t>
        </r>
        <r>
          <rPr>
            <sz val="9"/>
            <color indexed="81"/>
            <rFont val="Tahoma"/>
            <family val="2"/>
          </rPr>
          <t xml:space="preserve">
FY19 salary is $201,899</t>
        </r>
      </text>
    </comment>
    <comment ref="U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John Kuo:</t>
        </r>
        <r>
          <rPr>
            <sz val="9"/>
            <color indexed="81"/>
            <rFont val="Tahoma"/>
            <family val="2"/>
          </rPr>
          <t xml:space="preserve">
Salary not including fringe.</t>
        </r>
      </text>
    </comment>
    <comment ref="I9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John Kuo:</t>
        </r>
        <r>
          <rPr>
            <sz val="9"/>
            <color indexed="81"/>
            <rFont val="Tahoma"/>
            <family val="2"/>
          </rPr>
          <t xml:space="preserve">
FY19 salary is $197,625</t>
        </r>
      </text>
    </comment>
    <comment ref="I1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John Kuo:</t>
        </r>
        <r>
          <rPr>
            <sz val="9"/>
            <color indexed="81"/>
            <rFont val="Tahoma"/>
            <family val="2"/>
          </rPr>
          <t xml:space="preserve">
FY19 salary is $198,000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Brooks, Takiesha</author>
    <author>Kuo, John</author>
  </authors>
  <commentList>
    <comment ref="B4" authorId="0" shapeId="0" xr:uid="{00000000-0006-0000-0500-000001000000}">
      <text>
        <r>
          <rPr>
            <b/>
            <sz val="9"/>
            <color indexed="81"/>
            <rFont val="Tahoma"/>
            <charset val="1"/>
          </rPr>
          <t>Brooks, Takiesha:</t>
        </r>
        <r>
          <rPr>
            <sz val="9"/>
            <color indexed="81"/>
            <rFont val="Tahoma"/>
            <charset val="1"/>
          </rPr>
          <t xml:space="preserve">
Pending appointment</t>
        </r>
      </text>
    </comment>
    <comment ref="J10" authorId="1" shapeId="0" xr:uid="{00000000-0006-0000-0500-000002000000}">
      <text>
        <r>
          <rPr>
            <b/>
            <sz val="9"/>
            <color indexed="81"/>
            <rFont val="Tahoma"/>
            <charset val="1"/>
          </rPr>
          <t>Kuo, John:</t>
        </r>
        <r>
          <rPr>
            <sz val="9"/>
            <color indexed="81"/>
            <rFont val="Tahoma"/>
            <charset val="1"/>
          </rPr>
          <t xml:space="preserve">
$90K include fringe so $71,428.57
</t>
        </r>
      </text>
    </comment>
    <comment ref="J11" authorId="1" shapeId="0" xr:uid="{00000000-0006-0000-0500-000003000000}">
      <text>
        <r>
          <rPr>
            <b/>
            <sz val="9"/>
            <color indexed="81"/>
            <rFont val="Tahoma"/>
            <charset val="1"/>
          </rPr>
          <t>Kuo, John:</t>
        </r>
        <r>
          <rPr>
            <sz val="9"/>
            <color indexed="81"/>
            <rFont val="Tahoma"/>
            <charset val="1"/>
          </rPr>
          <t xml:space="preserve">
$100,000 and fringe is separate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Brooks, Takiesha</author>
  </authors>
  <commentList>
    <comment ref="C10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Brooks, Takiesha:</t>
        </r>
        <r>
          <rPr>
            <sz val="9"/>
            <color indexed="81"/>
            <rFont val="Tahoma"/>
            <family val="2"/>
          </rPr>
          <t xml:space="preserve">
JF and MB confirmed that he has enough funding, no need to apply, funds has been zero out
Ref to emaol 7.17.23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Grenier, Colleen</author>
  </authors>
  <commentList>
    <comment ref="J6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Grenier, Colleen:</t>
        </r>
        <r>
          <rPr>
            <sz val="9"/>
            <color indexed="81"/>
            <rFont val="Tahoma"/>
            <family val="2"/>
          </rPr>
          <t xml:space="preserve">
FY24 + 3%, estimated</t>
        </r>
      </text>
    </comment>
    <comment ref="J7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Grenier, Colleen:</t>
        </r>
        <r>
          <rPr>
            <sz val="9"/>
            <color indexed="81"/>
            <rFont val="Tahoma"/>
            <family val="2"/>
          </rPr>
          <t xml:space="preserve">
FY24 + 3%, estimated</t>
        </r>
      </text>
    </comment>
    <comment ref="J8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Grenier, Colleen:</t>
        </r>
        <r>
          <rPr>
            <sz val="9"/>
            <color indexed="81"/>
            <rFont val="Tahoma"/>
            <family val="2"/>
          </rPr>
          <t xml:space="preserve">
FY24 + 3%, estimated</t>
        </r>
      </text>
    </comment>
    <comment ref="J9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Grenier, Colleen:</t>
        </r>
        <r>
          <rPr>
            <sz val="9"/>
            <color indexed="81"/>
            <rFont val="Tahoma"/>
            <family val="2"/>
          </rPr>
          <t xml:space="preserve">
FY24 + 3%, estimated</t>
        </r>
      </text>
    </comment>
  </commentList>
</comments>
</file>

<file path=xl/sharedStrings.xml><?xml version="1.0" encoding="utf-8"?>
<sst xmlns="http://schemas.openxmlformats.org/spreadsheetml/2006/main" count="2887" uniqueCount="763">
  <si>
    <t>Section</t>
  </si>
  <si>
    <t>Name</t>
  </si>
  <si>
    <t>Project Period</t>
  </si>
  <si>
    <t>FY16 Base Salary</t>
  </si>
  <si>
    <t>Salary Support Provided by Award</t>
  </si>
  <si>
    <t>50.0% of Salary Gap</t>
  </si>
  <si>
    <t>Fringe (28.8%)</t>
  </si>
  <si>
    <t>Total Cost (Salary + Fringe)</t>
  </si>
  <si>
    <t>Has the PI received DOM funds?</t>
  </si>
  <si>
    <t>Support Description</t>
  </si>
  <si>
    <t>$$Start up packages , Evans Junior Faculty Awards</t>
  </si>
  <si>
    <t>Does the Section Agree to Limit the PI's Clinical Time to 25%?</t>
  </si>
  <si>
    <t>Does the Section Agree to Meet 50% of the Financial Commitment?</t>
  </si>
  <si>
    <t>Comment</t>
  </si>
  <si>
    <t>Has Faculty been awarded an R01 or other grant funding?</t>
  </si>
  <si>
    <t>Comments from Previous years</t>
  </si>
  <si>
    <t>FY16 Committee/DOM Notes</t>
  </si>
  <si>
    <t>Evans Acct#</t>
  </si>
  <si>
    <t xml:space="preserve">Rheumatology </t>
  </si>
  <si>
    <t>Maureen Dubreuil</t>
  </si>
  <si>
    <t>N/A</t>
  </si>
  <si>
    <t>No</t>
  </si>
  <si>
    <t>Dr. Felson and Dr. Simms supports salary gap</t>
  </si>
  <si>
    <t>Yes</t>
  </si>
  <si>
    <t>62% BU; 38% VA for clinical work</t>
  </si>
  <si>
    <t>AU 0103321; AN 7557500</t>
  </si>
  <si>
    <t>Romy Christmann De Souza</t>
  </si>
  <si>
    <t>04/01/14 - 03/31/19</t>
  </si>
  <si>
    <t>Drs. Lafyatis and Simms supports the salary gap</t>
  </si>
  <si>
    <t>No Clinical Time</t>
  </si>
  <si>
    <t>55201259 50202657</t>
  </si>
  <si>
    <t>AU 0103321; AN 7817200</t>
  </si>
  <si>
    <t>Cardiology</t>
  </si>
  <si>
    <t>Marcello Panagia</t>
  </si>
  <si>
    <t>07/01/15 - 06/30/20</t>
  </si>
  <si>
    <t>No, an K08</t>
  </si>
  <si>
    <t>AU 0103321; AN7566700</t>
  </si>
  <si>
    <t>Ivan Luptak</t>
  </si>
  <si>
    <t>yes</t>
  </si>
  <si>
    <t>AU 0103321; AN 7558200</t>
  </si>
  <si>
    <t>Pulmonary</t>
  </si>
  <si>
    <t>Jean-Bosco Tagne PhD</t>
  </si>
  <si>
    <t>06/01/14 - 05/31/19</t>
  </si>
  <si>
    <t>Recruitment</t>
  </si>
  <si>
    <t>$45,000 for 3 yrs. ($135,000) + salary coverage ($92,935) for any gap in funding for 3 yrs. total pkg $227,935; Balance of $0 as of 8/31/15</t>
  </si>
  <si>
    <t>salary reflects anticipated 2.75% increase</t>
  </si>
  <si>
    <t>AU 0103321; AN 7813700</t>
  </si>
  <si>
    <t>Allan Walkey MD</t>
  </si>
  <si>
    <t>02/01/13 - 01/31/18</t>
  </si>
  <si>
    <t>Evans Junior Faculty Award</t>
  </si>
  <si>
    <t>Rec. $50,000 for 2 yrs.  Bal of $90,000 as of 8/31/15</t>
  </si>
  <si>
    <t>Salary reflects anticipated 3% increase, per Dr. Coleman in past years - receipt of Evans Junior Faculty Award should not disqualify Dr. Walkey from this program</t>
  </si>
  <si>
    <t>50200982 50201585</t>
  </si>
  <si>
    <t>Per Dr. Coleman, Other Evans Junior Faculty Award shouldn't disqualify Dr. Walkey from this program.</t>
  </si>
  <si>
    <t>AU 0103321; AN 7532400</t>
  </si>
  <si>
    <t>Total Awarded</t>
  </si>
  <si>
    <t>Renal</t>
  </si>
  <si>
    <t>Andrea Havasi</t>
  </si>
  <si>
    <t>07/15/11 - 04/30/16</t>
  </si>
  <si>
    <t>5K08DK090143-05 11SDG5550044</t>
  </si>
  <si>
    <t>Start-Up Money?</t>
  </si>
  <si>
    <t>Grant needs to be awarded to be eligibile for the award</t>
  </si>
  <si>
    <t>Infectious Diseases</t>
  </si>
  <si>
    <t>Karen Jacobson, MD</t>
  </si>
  <si>
    <t>02/01/13 - 07/31/16</t>
  </si>
  <si>
    <t>Recruitment &amp; Evans Jr Faculty</t>
  </si>
  <si>
    <t>Evans Jr Faculty - $50K FY16 &amp; FY17 ($100K);  Recruitment - $337,269;   Balance of $171,000 as of 8/31/15</t>
  </si>
  <si>
    <t>Has recruitment funds to support unfunded salary</t>
  </si>
  <si>
    <t>5K01TW009213-05</t>
  </si>
  <si>
    <t>Nina Lin, MD</t>
  </si>
  <si>
    <t>06/01/14 - 04/30/16</t>
  </si>
  <si>
    <t>$565,000;  Bal of $393,000 as of 8/31/15</t>
  </si>
  <si>
    <t>7K08AI081545-05</t>
  </si>
  <si>
    <t>Gastroenterology</t>
  </si>
  <si>
    <t>Michelle Long</t>
  </si>
  <si>
    <t>Will be applying</t>
  </si>
  <si>
    <t>65% salary support and research funds for 3 yrs.</t>
  </si>
  <si>
    <t>Has not been awarded a K grant yet</t>
  </si>
  <si>
    <t>Pending Award Decision</t>
  </si>
  <si>
    <t>Awarded</t>
  </si>
  <si>
    <t>Pending</t>
  </si>
  <si>
    <t>FY16 Budget</t>
  </si>
  <si>
    <t>over/under budget</t>
  </si>
  <si>
    <t>FTE</t>
  </si>
  <si>
    <t>Primary Appointment in Medicine</t>
  </si>
  <si>
    <t>Award No</t>
  </si>
  <si>
    <t>Project Title</t>
  </si>
  <si>
    <t>More than 12 months of award remains?</t>
  </si>
  <si>
    <t>FY17 Base Salary</t>
  </si>
  <si>
    <t>If yes, please provide Support Description (start-up pkgs, Evans Junior Faculty awards, GT95, etc.)</t>
  </si>
  <si>
    <t>Please provide the current balance for the DOM funds described</t>
  </si>
  <si>
    <t>Gender</t>
  </si>
  <si>
    <t>Underrepresented Minority</t>
  </si>
  <si>
    <t>Did this faculty receive this award last year? How much?</t>
  </si>
  <si>
    <t>Comments</t>
  </si>
  <si>
    <t>Committee's Decision/Notes</t>
  </si>
  <si>
    <t>Evans Acct #</t>
  </si>
  <si>
    <t>15FTF25890062</t>
  </si>
  <si>
    <t>Elevated Intracellular sodium Wonsens Mitochondrial ORS and ATP Production in Obseithy Inciced Distp;</t>
  </si>
  <si>
    <t>7/1/16 - 6/30/20</t>
  </si>
  <si>
    <t>DOM Career Investment Award</t>
  </si>
  <si>
    <t>$0.00 by end AY16</t>
  </si>
  <si>
    <t>M</t>
  </si>
  <si>
    <t>AHA</t>
  </si>
  <si>
    <r>
      <t xml:space="preserve">Committee will support. </t>
    </r>
    <r>
      <rPr>
        <b/>
        <sz val="11"/>
        <color theme="1"/>
        <rFont val="Arial"/>
        <family val="2"/>
      </rPr>
      <t xml:space="preserve">Action Item: Emelia will email Bill about instructor title. </t>
    </r>
  </si>
  <si>
    <t>AU 0103321   Act 7558200</t>
  </si>
  <si>
    <t>7K08HL123744-03</t>
  </si>
  <si>
    <t>Multipliexed Imaging of Energy Metabolism in Murine Models of Heart Failure</t>
  </si>
  <si>
    <t>03/10/16 - 8/31/19</t>
  </si>
  <si>
    <t>K08</t>
  </si>
  <si>
    <r>
      <t xml:space="preserve">Impact factors from publications is underwhelming. (In the past 8 years, he's only been 1st author for one publication and mid author for the rest. </t>
    </r>
    <r>
      <rPr>
        <b/>
        <sz val="11"/>
        <color theme="1"/>
        <rFont val="Arial"/>
        <family val="2"/>
      </rPr>
      <t>Action Item: Emelia will sit down with him and discuss publication strategy.</t>
    </r>
  </si>
  <si>
    <t>AU 0103321   Act 7566700</t>
  </si>
  <si>
    <t>Clin Epi</t>
  </si>
  <si>
    <t>Devyani Misra</t>
  </si>
  <si>
    <t>KL2TR001411</t>
  </si>
  <si>
    <t>Evaluating Synovitis as a Link Between Knee Osteoarthritis and Muscle-related Morbidities</t>
  </si>
  <si>
    <t>10/1/15-3/31/17</t>
  </si>
  <si>
    <t>2015 Pilot award DOM/CTSI</t>
  </si>
  <si>
    <t>F</t>
  </si>
  <si>
    <t>KL2 Awarded 10/1/2015</t>
  </si>
  <si>
    <t>No issues</t>
  </si>
  <si>
    <t>AU 0103321   Act 7544000</t>
  </si>
  <si>
    <t>K23AR069127</t>
  </si>
  <si>
    <t>Establilshing the Value of Treatment Strategies in Spondyloarthritis</t>
  </si>
  <si>
    <t>5/1/16-4/30/21</t>
  </si>
  <si>
    <t>2016 Pilot award DOM/CTSI</t>
  </si>
  <si>
    <t>$15,000  (NO SALARY SUPPORT)</t>
  </si>
  <si>
    <t>25% VA Clinical duties makes up 100% FTE                      K23 awarded 5/1/2016</t>
  </si>
  <si>
    <t>AU 0103321   Act 7557500</t>
  </si>
  <si>
    <t>K01HL116768</t>
  </si>
  <si>
    <t>Atrial Fibrillation in Sepsis: Patient Outcomes and Provider Practice Patterns</t>
  </si>
  <si>
    <t>2/1/13-1/31/18</t>
  </si>
  <si>
    <t>Evans Junior Faculty Award, CIIS Co-Director 20% salary</t>
  </si>
  <si>
    <t>salary reflects anticipated increase, which includes an equity component, per Dr. Coleman in past years - receipt of Evans Junior Faculty Award should not disqualify Dr. Walkey from this program</t>
  </si>
  <si>
    <t xml:space="preserve">No issues. </t>
  </si>
  <si>
    <t>AU 0103321   Act 7532400</t>
  </si>
  <si>
    <t>Instructions for Filling out the worksheet</t>
  </si>
  <si>
    <t xml:space="preserve">1. Fill in section and PI name.  </t>
  </si>
  <si>
    <t>2. Provide percent effort for PI</t>
  </si>
  <si>
    <t>3. Provide faculty appointment information</t>
  </si>
  <si>
    <t>4. Provide award number &amp; grant title for funded K grant</t>
  </si>
  <si>
    <t>5. provide funding periods for the grant per the NOA</t>
  </si>
  <si>
    <t>6. Are there more than 12 months remaining for this award as of 7/1/16?</t>
  </si>
  <si>
    <t>7. Provide anticipated FY17 salary</t>
  </si>
  <si>
    <t>8. What is the salary support provided by the award for the current year of funding?</t>
  </si>
  <si>
    <t>9. Has the PI received any other DOM funding (GT95 support, recruitment funding, pilot awards, etc.)</t>
  </si>
  <si>
    <t>Please see attached document for criteria for award</t>
  </si>
  <si>
    <t>FY18 Base Salary</t>
  </si>
  <si>
    <t>Underrepresented Minority (Y/N)</t>
  </si>
  <si>
    <t>FY17 Committee/DOM Notes</t>
  </si>
  <si>
    <t>Katrina Traber MD</t>
  </si>
  <si>
    <t>K08 HL130582 (75% effort on this award)</t>
  </si>
  <si>
    <t>The Role of Oncostatin-M in Pneumonia</t>
  </si>
  <si>
    <t>9/1/16-6/30/21</t>
  </si>
  <si>
    <t>start up 7/15-6/17</t>
  </si>
  <si>
    <t xml:space="preserve">as noted, FY18 salary is TBD. (K funds $100K for 75% effort) </t>
  </si>
  <si>
    <t>GIM</t>
  </si>
  <si>
    <t>LaRochelle, Marc</t>
  </si>
  <si>
    <t>Assistant Professor</t>
  </si>
  <si>
    <t>K23DA042168</t>
  </si>
  <si>
    <t>Improving Urine Drug Test Utility to Mitigate Prescription Opioid Risk</t>
  </si>
  <si>
    <t>3/1/17 - 2/28/2022</t>
  </si>
  <si>
    <t>Y</t>
  </si>
  <si>
    <t>Start-up</t>
  </si>
  <si>
    <t>N</t>
  </si>
  <si>
    <t>HPHC</t>
  </si>
  <si>
    <t>Lunze, Karsten</t>
  </si>
  <si>
    <t>Research Assistant Professor</t>
  </si>
  <si>
    <t>K99DA041245</t>
  </si>
  <si>
    <t>Stigma, Risk Behaviors and Health Care among HIV-infected Russian People Who Inject Drugs</t>
  </si>
  <si>
    <t>6/1/16 - 5/31/18</t>
  </si>
  <si>
    <t xml:space="preserve">K99 funding 6/1/16 - 5/31/18 then transition to R00 6/1/18 - 5/31/21; Grant Funding received: Hamer ICCM Unicef, CFAR P30 </t>
  </si>
  <si>
    <t>So-Armah, Kaku</t>
  </si>
  <si>
    <t>K01HL134147</t>
  </si>
  <si>
    <t>Novel Mechanisms Driving Excess Atherosclerotic Cardiovascular Disease Risk in the Context of HIV: The Role of Liver Injury</t>
  </si>
  <si>
    <t>8/1/16 - 7/31/21</t>
  </si>
  <si>
    <t>NIAAA Diversity Supplement U01AA021989-03S1</t>
  </si>
  <si>
    <t>Cardiovascula Center</t>
  </si>
  <si>
    <t>5K08HL123744-04</t>
  </si>
  <si>
    <t>Multiplexed Imaging of Energy Metabolism in Murine Models of Heart Failure</t>
  </si>
  <si>
    <t>3/10/2016 - 8/31/2019</t>
  </si>
  <si>
    <t>Yes, $43,470</t>
  </si>
  <si>
    <t>Elevated intracellular sodium worsens mitochondrial ROS and ATP production in obesity indiced distol</t>
  </si>
  <si>
    <t>7/1/2015 - 6/30/2020</t>
  </si>
  <si>
    <t>Yes $57,598.75</t>
  </si>
  <si>
    <t>Gene Kwan</t>
  </si>
  <si>
    <t>17MCPRP33460298</t>
  </si>
  <si>
    <t>A Mixed Methods Evaulation of Barriers to Heart Failure Care in Rural Haiti</t>
  </si>
  <si>
    <t>1/1/2017 - 12/31/2018</t>
  </si>
  <si>
    <t>NA</t>
  </si>
  <si>
    <t>Clinical Epidemiology</t>
  </si>
  <si>
    <t>5 K23 AR069127-02</t>
  </si>
  <si>
    <t>Establishing the Value of Treatment Strategies in Spondyloarthritis</t>
  </si>
  <si>
    <t>05/01/2016-04/30/2021</t>
  </si>
  <si>
    <t>K Award Supplement FY17</t>
  </si>
  <si>
    <t>$0.00 balance will remail</t>
  </si>
  <si>
    <t>NO</t>
  </si>
  <si>
    <t>Yes, $10,221</t>
  </si>
  <si>
    <t>Dr. Dubreuil received 50% of the gap from DOM in FY17</t>
  </si>
  <si>
    <t>5. Provide funding periods for the grant per the NOA</t>
  </si>
  <si>
    <t>6. Are there more than 12 months remaining for this award as of 7/1/17?</t>
  </si>
  <si>
    <t>7. Provide anticipated FY18 salary</t>
  </si>
  <si>
    <t>K23 AR069127</t>
  </si>
  <si>
    <t>Jr. Faculty Award</t>
  </si>
  <si>
    <t>Yes.  $17,710 Salary Plus Fringe</t>
  </si>
  <si>
    <t>K08 HL130582
75% effort on this award</t>
  </si>
  <si>
    <t xml:space="preserve">as noted, FY19 salary is TBD.  </t>
  </si>
  <si>
    <t>Luis Agosto, PhD</t>
  </si>
  <si>
    <t>HIV Cell-to-Cell Transmission and the Establishment of Latency</t>
  </si>
  <si>
    <t>05/01/18-04/30/19</t>
  </si>
  <si>
    <t>Training Stipend Supplementation</t>
  </si>
  <si>
    <t>N/A - PhD</t>
  </si>
  <si>
    <t>Male</t>
  </si>
  <si>
    <t>Yes - amfAR Mathilde Krim Fellowship</t>
  </si>
  <si>
    <t>Sabrina Assoumou, MD</t>
  </si>
  <si>
    <t>1K23DA044085-01A1</t>
  </si>
  <si>
    <t>Engaging Young People who Inject Drugs into HCV and HIV Care</t>
  </si>
  <si>
    <t>5/1/2018-4/30/2023</t>
  </si>
  <si>
    <t>Female</t>
  </si>
  <si>
    <t xml:space="preserve">Yes, CFAR pilot award &amp; UCSF LEAD grant (R25) </t>
  </si>
  <si>
    <t>Sarah Bagley</t>
  </si>
  <si>
    <t>Primary Care and Addiction Medicine</t>
  </si>
  <si>
    <t>K23DA044324</t>
  </si>
  <si>
    <t>A Behavioral Intervention to Engage Emerging Adults in Addiction Treatment after a Non-fatal Opioid Overdose</t>
  </si>
  <si>
    <t>07/15/2017 – 06/30/2022</t>
  </si>
  <si>
    <t>YES</t>
  </si>
  <si>
    <t>Marc LaRochelle</t>
  </si>
  <si>
    <t>Improving urine drug test utility to mitigate prescription opioid risk</t>
  </si>
  <si>
    <t>03/01/2017 – 02/28/2022</t>
  </si>
  <si>
    <t>Other grant funding for FY19 is 1% FTE</t>
  </si>
  <si>
    <t>Cardiovascular Medicine</t>
  </si>
  <si>
    <t>5K08HL123744-05</t>
  </si>
  <si>
    <t>Deepa Gopal</t>
  </si>
  <si>
    <t>17FTF33670369</t>
  </si>
  <si>
    <t>Cardiac Phenotyping to Identify Preclinical Heart Failure in Metabolic Syndrome</t>
  </si>
  <si>
    <t>7/1/17 - 6/30/2022</t>
  </si>
  <si>
    <t>GI</t>
  </si>
  <si>
    <t>FY20 Base Salary</t>
  </si>
  <si>
    <t>Does the Section Agree to Limit the PI's Clinical Time to 25% or less?</t>
  </si>
  <si>
    <t>From under-represented group?</t>
  </si>
  <si>
    <t xml:space="preserve">Pulmonary </t>
  </si>
  <si>
    <t>Katrina Traber MD, PhD</t>
  </si>
  <si>
    <t xml:space="preserve">Assistant Professor </t>
  </si>
  <si>
    <t>K08 HL130582</t>
  </si>
  <si>
    <t>start up 7/15-6/18</t>
  </si>
  <si>
    <t>f</t>
  </si>
  <si>
    <t>no</t>
  </si>
  <si>
    <t>Paul Maglione MD, PhD</t>
  </si>
  <si>
    <t>K23 AI137183</t>
  </si>
  <si>
    <t>Role of B cell activating factor in non-infectious complications of common variable immunodeficiency</t>
  </si>
  <si>
    <t>2/1/19–1/31/23</t>
  </si>
  <si>
    <t>m</t>
  </si>
  <si>
    <t>non-federal, non-salary support</t>
  </si>
  <si>
    <t xml:space="preserve">Endocrinology </t>
  </si>
  <si>
    <t>Sun Lee, MD</t>
  </si>
  <si>
    <t>56.5% effort on grant/1.00 overall FTE as of 7/1/19</t>
  </si>
  <si>
    <t xml:space="preserve">application ID: 1K23ES028736-01A1 </t>
  </si>
  <si>
    <t>Effects of maternal thyroid function and thyroidal disruptor exposure on pregnancy and child developmental outcomes</t>
  </si>
  <si>
    <t>7/1/19-6/30/24</t>
  </si>
  <si>
    <t>100k on K award (56.5%), 44,250 on clinical acct (25%), gap is 18.5% or 32,745 and 50% is 16,372.50</t>
  </si>
  <si>
    <t>No-no NOGA yet</t>
  </si>
  <si>
    <t>At this time, the PI has not received a NOGA.  She did receive an email from the NIH that her K award will be funded.</t>
  </si>
  <si>
    <t>Geriatrics</t>
  </si>
  <si>
    <t>Stacy Andersen Toomey, PhD</t>
  </si>
  <si>
    <t>1 K01 AG057798</t>
  </si>
  <si>
    <t>Digital Markers of Cognition Across the Spectrum of Preclinical Cognitive Impairment to Dementia</t>
  </si>
  <si>
    <t>7/15/18-5/31/23</t>
  </si>
  <si>
    <t>GT95</t>
  </si>
  <si>
    <t>n/a</t>
  </si>
  <si>
    <t>yes, after GT95%</t>
  </si>
  <si>
    <t>y; $6,126</t>
  </si>
  <si>
    <t>DOM balance for AY19 as of 3/31/19</t>
  </si>
  <si>
    <t>Christine Liu, MD</t>
  </si>
  <si>
    <t>1 K23 AG057813</t>
  </si>
  <si>
    <t>Mobility in older hemodialysis patients</t>
  </si>
  <si>
    <t>9/1/18- 5/31/19</t>
  </si>
  <si>
    <t>Michelle T. Long</t>
  </si>
  <si>
    <t>5K23DK113252-02</t>
  </si>
  <si>
    <t>Identifying Clinical and genetic correlates of hepatic fibrosis from fatty liver disease in the community</t>
  </si>
  <si>
    <t>1/12/18 – 11/30/22</t>
  </si>
  <si>
    <t>Evans Junior Faculty award(Expires 09/2020)</t>
  </si>
  <si>
    <t>Yes-38,816.50</t>
  </si>
  <si>
    <t>Yes-Gilead ($130,000.00 for 2 years)</t>
  </si>
  <si>
    <t>Mixed Method Evaluation of Barriers To Heart Failure In Rural Haiti</t>
  </si>
  <si>
    <t>1/1/17-12/31/19</t>
  </si>
  <si>
    <t>Sabrina Assoumou</t>
  </si>
  <si>
    <t>5K23DA044085-02</t>
  </si>
  <si>
    <t>K Award supplementation from AY19</t>
  </si>
  <si>
    <t>Effort on MassHEAL (10%) &amp; iTEST subk (10%)</t>
  </si>
  <si>
    <t>cFTE = 5%</t>
  </si>
  <si>
    <t>Manish Sagar</t>
  </si>
  <si>
    <t>1K24AI145661-01</t>
  </si>
  <si>
    <t>HIV-1 mucosal transmission and persistence</t>
  </si>
  <si>
    <t>3/1/2019-2/29/2021</t>
  </si>
  <si>
    <t>Start-up package</t>
  </si>
  <si>
    <t>PI on R01 &amp; R21; effort on R01, R61</t>
  </si>
  <si>
    <t>cFTE = 15%; K24 requires 3-6 person months</t>
  </si>
  <si>
    <t>7. Provide anticipated FY19 salary</t>
  </si>
  <si>
    <t>FY21 Base Salary</t>
  </si>
  <si>
    <t xml:space="preserve">Rossana Lau-Ng </t>
  </si>
  <si>
    <t xml:space="preserve">Instructor </t>
  </si>
  <si>
    <t>1 K01HP33450-01-00</t>
  </si>
  <si>
    <t>Geriatric Academic Career Awards</t>
  </si>
  <si>
    <t>9/1/19-8/31/23</t>
  </si>
  <si>
    <t>Asian</t>
  </si>
  <si>
    <t>Rheumatology</t>
  </si>
  <si>
    <t>5/1/2016-4/30/2021</t>
  </si>
  <si>
    <t>Jr. Faculty Merit Award</t>
  </si>
  <si>
    <t>~$96,000</t>
  </si>
  <si>
    <t>R03</t>
  </si>
  <si>
    <t>Hem &amp; Medical Onc</t>
  </si>
  <si>
    <t>Elliott Hagedorn</t>
  </si>
  <si>
    <t>Hematology &amp; Medical Oncology</t>
  </si>
  <si>
    <t>5KO1DK111790-03</t>
  </si>
  <si>
    <t>Deconstructing the Hematopoietic Stem Cell Niche</t>
  </si>
  <si>
    <t>09/01/2017-08/31/2022</t>
  </si>
  <si>
    <t>pending recruit</t>
  </si>
  <si>
    <t>R21 (10% salary support), other non-federal, non-salary support</t>
  </si>
  <si>
    <t>Endocrinology</t>
  </si>
  <si>
    <t>1K23ES028736-01A1</t>
  </si>
  <si>
    <t>7/1/19-5/31/24</t>
  </si>
  <si>
    <t>Salary gap support when she was on training grant as a 3rd year fellow</t>
  </si>
  <si>
    <t>Nephrology</t>
  </si>
  <si>
    <t>Titilayo Ilori</t>
  </si>
  <si>
    <t>1K23 DK119542</t>
  </si>
  <si>
    <t xml:space="preserve">The Role of Dietary Nutrients in Chronic Kidney Disease Progression and Apolipoprotein L1 Nephropathy”. </t>
  </si>
  <si>
    <t>7/1/20-6/30/24</t>
  </si>
  <si>
    <t>research start up package</t>
  </si>
  <si>
    <t>Doris Duke</t>
  </si>
  <si>
    <t>Doris Duke is covering 10% of salary</t>
  </si>
  <si>
    <t>K23HL0591401</t>
  </si>
  <si>
    <t>Identifying facilitators and barriers to heart failure care in Haiti to adapt a community-based intervention</t>
  </si>
  <si>
    <t>8/1/19-7/31/2023</t>
  </si>
  <si>
    <t>Infectious Disease</t>
  </si>
  <si>
    <t>K23DA044085-02</t>
  </si>
  <si>
    <t>5/1/18-4/30/23</t>
  </si>
  <si>
    <t>K supplement</t>
  </si>
  <si>
    <t>Y (Black)</t>
  </si>
  <si>
    <t>Joshua Barocas, MD</t>
  </si>
  <si>
    <t>K01DA051684-01</t>
  </si>
  <si>
    <t>Strategies to reduce serious bacterial infections and overdose among people who
inject drugs</t>
  </si>
  <si>
    <t>6/15/2020-5/31/2025</t>
  </si>
  <si>
    <t>start-up package</t>
  </si>
  <si>
    <t>As of 4/30/20, $290,214 remains (per forward commitments)</t>
  </si>
  <si>
    <t>I believe a portion of Dr. Barocas' start-up account was funded by GIM.</t>
  </si>
  <si>
    <t>6. Are there more than 12 months remaining for this award as of 7/1/20?</t>
  </si>
  <si>
    <t>7. Provide anticipated FY21 salary</t>
  </si>
  <si>
    <t>AD</t>
  </si>
  <si>
    <t>FY22 Base Salary</t>
  </si>
  <si>
    <t>cFTE</t>
  </si>
  <si>
    <t>Fringe</t>
  </si>
  <si>
    <t xml:space="preserve">Total Cost (Salary + Fringe) </t>
  </si>
  <si>
    <t>Jennifer Fosbroke</t>
  </si>
  <si>
    <t>June 2019-June 2024</t>
  </si>
  <si>
    <t>John  Kuo</t>
  </si>
  <si>
    <t>Darae Ko</t>
  </si>
  <si>
    <t>1K23HL151903-01A1</t>
  </si>
  <si>
    <t>Risk-Guided Atrial Fibrillation Surveillance in Ischemic Stroke</t>
  </si>
  <si>
    <t>7/1/21-6/30/26</t>
  </si>
  <si>
    <t>Matthew Nayor</t>
  </si>
  <si>
    <t>5K23HL138260-04</t>
  </si>
  <si>
    <t>Metabolic Signatures of Impaired Cardiorespiratory Fitness: Correlates, Prognostic Significance and Modulation with Exercise Training</t>
  </si>
  <si>
    <t>9/1/17-6/30/22</t>
  </si>
  <si>
    <t>Laura Anastasi</t>
  </si>
  <si>
    <t>Rossana Lau-Ng, MD</t>
  </si>
  <si>
    <t>5 K01 HP33450</t>
  </si>
  <si>
    <t>9/1/19-6/30/23</t>
  </si>
  <si>
    <t>Colleen Grenier</t>
  </si>
  <si>
    <t>Assoumou, Sabrina</t>
  </si>
  <si>
    <t>5K23DA044085-03</t>
  </si>
  <si>
    <t>05/01/2018-04/30/2023</t>
  </si>
  <si>
    <t>Evans Jr Faculty Awards, DOM Pilot awards, prior year K award supplement award.</t>
  </si>
  <si>
    <t>$50k in her Evans Jr Faculty Award</t>
  </si>
  <si>
    <t>Y, Black</t>
  </si>
  <si>
    <t>Bouton, Tara</t>
  </si>
  <si>
    <t>1K23AI152930-01A1 [PENDING]</t>
  </si>
  <si>
    <t>Understanding HIV's impact on RR/MDR-TB development and transmission through genomics</t>
  </si>
  <si>
    <t>04/01/2021-03/31/2026</t>
  </si>
  <si>
    <t xml:space="preserve">Recruitment account via Dr. Barlam's recruitment package. </t>
  </si>
  <si>
    <t>$50k in recruitment package</t>
  </si>
  <si>
    <t xml:space="preserve">Tara Bouton got a very good score on your K23. We have not received a NoA yet, but I think we will soon and wanted to include her on our list. </t>
  </si>
  <si>
    <t>Vorkas, Charles</t>
  </si>
  <si>
    <t>5K08AI132739-03</t>
  </si>
  <si>
    <t>The role of Mucosal-associated invariant T (MAIT) cells during the innate immune response to Mycobacterium tuberculosis</t>
  </si>
  <si>
    <t>06/06/2018-05/31/2023</t>
  </si>
  <si>
    <t>Actively working on his recruitment. We anticpate providing funding from Dr. Barlam's recruitment package.</t>
  </si>
  <si>
    <t xml:space="preserve">$680k anticipated package </t>
  </si>
  <si>
    <t xml:space="preserve">We are actively working on his recruitment. I think it is very likely he will accept and come to BUMC so I wanted to include him on our list. </t>
  </si>
  <si>
    <t>Aline Hillman</t>
  </si>
  <si>
    <t>Paul Maglione MD PhD</t>
  </si>
  <si>
    <t>K23AI137183</t>
  </si>
  <si>
    <t>Role of B cell activating factor in non-infections complications of common variable immunodeficiency</t>
  </si>
  <si>
    <t>2/1/19-1/31/23</t>
  </si>
  <si>
    <t>Anica Law MD</t>
  </si>
  <si>
    <t>K23HL153482</t>
  </si>
  <si>
    <t>Prolonged mechanical ventilation: patterns or post-acute care and patient outcomes</t>
  </si>
  <si>
    <t>2/1/21-6/30/25</t>
  </si>
  <si>
    <t>Monic Chardin</t>
  </si>
  <si>
    <t>1/12/2018-11/30/2022</t>
  </si>
  <si>
    <t xml:space="preserve">Nephrology </t>
  </si>
  <si>
    <t xml:space="preserve">Rebecca Carrs </t>
  </si>
  <si>
    <t xml:space="preserve">Titi Ilori </t>
  </si>
  <si>
    <t>1K23DK119542-01A1</t>
  </si>
  <si>
    <t>The Role of Dietary Nutrients in Chronic Kidney Disease  Progression and  Apolipoprotein L1 Nephropathy</t>
  </si>
  <si>
    <t>7/15/20-3/31/25</t>
  </si>
  <si>
    <t>Startup</t>
  </si>
  <si>
    <t>Budgeted $200k FY22, could change upon budget completion</t>
  </si>
  <si>
    <t>Hem/Onc</t>
  </si>
  <si>
    <t>Casaundra Knight</t>
  </si>
  <si>
    <t>5K01DK111790-03</t>
  </si>
  <si>
    <t>Recruitment account - start up</t>
  </si>
  <si>
    <t>Yes - AY21</t>
  </si>
  <si>
    <t>cFTE less than .25</t>
  </si>
  <si>
    <t>Total</t>
  </si>
  <si>
    <t>6. Are there more than 12 months remaining for this award as of 7/1/21?</t>
  </si>
  <si>
    <t>7. Provide anticipated FY22 salary</t>
  </si>
  <si>
    <t>FY23 Base Salary</t>
  </si>
  <si>
    <t>What is the effort required on grant?</t>
  </si>
  <si>
    <t xml:space="preserve">Notes </t>
  </si>
  <si>
    <t>Duan Yang</t>
  </si>
  <si>
    <t>Lee, Sun  MD</t>
  </si>
  <si>
    <t>Asst Prof in Endo</t>
  </si>
  <si>
    <t xml:space="preserve">Effects of maternal thyroid function and thyroidal disruptor exposure on pregnancy and child developmental outcomes 
</t>
  </si>
  <si>
    <t>7/1/2019-5/31/2024</t>
  </si>
  <si>
    <t>Salary gap support when she was on training grant as a 3rd year fellow, K award supplemental funding for first 4 years of this award.</t>
  </si>
  <si>
    <t>Yes, K award covered 121k in salary for AY23 (Projection made based on AY23 P6 LDR report)</t>
  </si>
  <si>
    <t>PI is planning to submit R01 in June 2023.</t>
  </si>
  <si>
    <t>Fantasia, Kathryn</t>
  </si>
  <si>
    <t>K12DK133995</t>
  </si>
  <si>
    <t>a National NIH K12 "Diabetes-Docs: PhysicianScientist Career Development Program" (DiabDocs)Award</t>
  </si>
  <si>
    <t>6/1/2023-5/31/2024</t>
  </si>
  <si>
    <t>Initial funding to start 6/1/2023 for a year thru 5/31/2024.</t>
  </si>
  <si>
    <t>Nicole Mushero</t>
  </si>
  <si>
    <t>HRSA Geriatric Career Award</t>
  </si>
  <si>
    <t>7/1/2023-6/30/2027</t>
  </si>
  <si>
    <t>Application pending; good chance it will be awarded</t>
  </si>
  <si>
    <t>General Internal Medicine</t>
  </si>
  <si>
    <t>Jen Fosbroke</t>
  </si>
  <si>
    <t>Simeon Kimmel</t>
  </si>
  <si>
    <t>K23DA054363</t>
  </si>
  <si>
    <t>Retention and Re-Engagement in Treatment for Addiction following Serious Injection Related Infections (RETAIN)</t>
  </si>
  <si>
    <t>6/15/21 - 5/31/26</t>
  </si>
  <si>
    <t>Anna Goldman</t>
  </si>
  <si>
    <t>K23MH128639</t>
  </si>
  <si>
    <t>Medicaid Accountable Care Organizations (ACO) and Quality of Care for Adults with Serious Mental Illness (SMI)</t>
  </si>
  <si>
    <t>03/14/2022 - 02/28/2026</t>
  </si>
  <si>
    <t>Department of Medicine Career Investment Award received on 6.24.22 to cover 50% support</t>
  </si>
  <si>
    <t>Marshall Bizure</t>
  </si>
  <si>
    <t xml:space="preserve">Natalia Morone </t>
  </si>
  <si>
    <t>5K24AT011561-02</t>
  </si>
  <si>
    <t xml:space="preserve">Mentoring and Patient Oriented Research in Mind and Body Practices </t>
  </si>
  <si>
    <t>9/15/2021 - 8/31/2026</t>
  </si>
  <si>
    <t xml:space="preserve">Carl Streed </t>
  </si>
  <si>
    <t>1K01HL151902-01A1</t>
  </si>
  <si>
    <t xml:space="preserve">Building Methods to Assess and Address Cardiovascular Health in Transgender Adults </t>
  </si>
  <si>
    <t>4/15/2021 - 3/31/2026</t>
  </si>
  <si>
    <t>Department of Medicine Career Investment Award (Junior Award) received on 6.27.2022 to bridge 50% to cove budget period 7/1/2022 to 6/30/2023</t>
  </si>
  <si>
    <t xml:space="preserve">Eric Roseen </t>
  </si>
  <si>
    <t>5K23AT010487</t>
  </si>
  <si>
    <t xml:space="preserve">Improving Access to Chiropractic Care for Low Back Pain in Underserved Primary Care Settings: Development and Evaluation of a Multi-Level Implementation Strategy </t>
  </si>
  <si>
    <t>09/01/2019 - 8/31/2024</t>
  </si>
  <si>
    <t>Vascular Biology</t>
  </si>
  <si>
    <t>Hau Nguyen</t>
  </si>
  <si>
    <t>Jessica Fetterman</t>
  </si>
  <si>
    <t>5K01HL143142</t>
  </si>
  <si>
    <t>Relations of Mitochondrial Genetic Variation and Function with Atrial Fibrillat</t>
  </si>
  <si>
    <t>04/01/2019 - 03/31/2024</t>
  </si>
  <si>
    <t>K supplement last year</t>
  </si>
  <si>
    <t>female</t>
  </si>
  <si>
    <t>Raquel Frankson (please copy Meenakshi Lakshminarayanan)</t>
  </si>
  <si>
    <t>Evans Junior Faculty Research Merit</t>
  </si>
  <si>
    <t>Kari Gillmeyer MD</t>
  </si>
  <si>
    <t>Parker B. Francis Foundation Fellowship</t>
  </si>
  <si>
    <t>Characterizing Care Coordination in Pulmonary Hypertension: A Mixed Methods Study</t>
  </si>
  <si>
    <t>7/1/21-6/30/24</t>
  </si>
  <si>
    <t>Nicholas Bosch MD</t>
  </si>
  <si>
    <t>CTSI KL2</t>
  </si>
  <si>
    <t>KL2 Career Development Award</t>
  </si>
  <si>
    <t>4/1/22-3/31/24</t>
  </si>
  <si>
    <t>9 months remain as of  7/1/23</t>
  </si>
  <si>
    <t>no (not under his name as PI)</t>
  </si>
  <si>
    <t>The KL2 salary is annualized.  The award is for 9 months of AY24, ending 3/31/24.</t>
  </si>
  <si>
    <t>Erin Crossey MD PhD</t>
  </si>
  <si>
    <t>AHA Fellowship</t>
  </si>
  <si>
    <t>Origin and Function of Lung Lymphatic Endothelial Cell Subsets During Influenza-induced Lymphangiogenesis</t>
  </si>
  <si>
    <t>7/1/23-6/30/25</t>
  </si>
  <si>
    <t>faculty appt. in process to be effective 7/1/23</t>
  </si>
  <si>
    <t>Kostas Alysandratos</t>
  </si>
  <si>
    <t>Assistant Professor of Medicine</t>
  </si>
  <si>
    <t>K08HL163494</t>
  </si>
  <si>
    <t>Utilizing induced pluripotent stem cells to study the role of alveolar type 2 cell
dysfunction in pulmonary fibrosis</t>
  </si>
  <si>
    <t>01/01/2023- 12/31/2027</t>
  </si>
  <si>
    <t>Tara Bouton</t>
  </si>
  <si>
    <t>1K23AI152930</t>
  </si>
  <si>
    <t>6/2/2021-5/31/2026</t>
  </si>
  <si>
    <t>$75K of start-up/recruitment as part of Dr. Barlam's package</t>
  </si>
  <si>
    <t xml:space="preserve">$75k, I don't believe Tara has spent any of these funds. </t>
  </si>
  <si>
    <t>5K23DA044085</t>
  </si>
  <si>
    <t>5/1/2018-4/30/2023; NCE thru 4/30/2024 expected</t>
  </si>
  <si>
    <t>N, NCE thru 4/30/2024</t>
  </si>
  <si>
    <t>Evans Jr. Faculty Award</t>
  </si>
  <si>
    <t>Rachel Epstein</t>
  </si>
  <si>
    <t>1K01DA052821</t>
  </si>
  <si>
    <t>Perinatal care as a venue to reduce opioid overdoses and hepatitis C virus incidence (PreVenT OD HCV)</t>
  </si>
  <si>
    <t>7/1/2022-6/30/2027</t>
  </si>
  <si>
    <t xml:space="preserve">$75k, I don't believe Rachel has spent any of these funds. </t>
  </si>
  <si>
    <t>Hematology/Oncology</t>
  </si>
  <si>
    <t>K01DK111790</t>
  </si>
  <si>
    <t>Deconstructing The Hematopoieticv Stem Cell Niche</t>
  </si>
  <si>
    <t>9/1/21-11/30/23</t>
  </si>
  <si>
    <t>K award supplement</t>
  </si>
  <si>
    <t>$0 no carryforward in either</t>
  </si>
  <si>
    <t>Rebecca Carss</t>
  </si>
  <si>
    <t>K23DK119542</t>
  </si>
  <si>
    <t>K award supplement FY22 &amp; 23</t>
  </si>
  <si>
    <t>$0, no carry forward in either FY</t>
  </si>
  <si>
    <t>6. Are there more than 12 months remaining for this award as of 7/1/23?</t>
  </si>
  <si>
    <t>7. Provide anticipated FY24 salary</t>
  </si>
  <si>
    <t>Clinical</t>
  </si>
  <si>
    <t>Research</t>
  </si>
  <si>
    <t>FY24 Base Salary</t>
  </si>
  <si>
    <t>Award Valid Through (6/30/24 furthest)</t>
  </si>
  <si>
    <t># of Months</t>
  </si>
  <si>
    <t>Clinical/Research Faculty</t>
  </si>
  <si>
    <t>Committee Approval</t>
  </si>
  <si>
    <t>BU IO</t>
  </si>
  <si>
    <t>Cost Center #</t>
  </si>
  <si>
    <t>Provider #</t>
  </si>
  <si>
    <t>Project #</t>
  </si>
  <si>
    <t xml:space="preserve">Yes </t>
  </si>
  <si>
    <t>31901008</t>
  </si>
  <si>
    <t>3190200002</t>
  </si>
  <si>
    <t>May not fund the entire project, waiting to hear back from Dr. Day, will fund the entire project 11.14.23</t>
  </si>
  <si>
    <t xml:space="preserve">Raquel Frankson </t>
  </si>
  <si>
    <t>Yes-funded only until October</t>
  </si>
  <si>
    <t>Andrew BERICAL</t>
  </si>
  <si>
    <t xml:space="preserve">CFF </t>
  </si>
  <si>
    <t>07/01/2023-06/30/2026</t>
  </si>
  <si>
    <t>added 6.28, committee approval 6.29</t>
  </si>
  <si>
    <t>Justin Lui</t>
  </si>
  <si>
    <t>AHA Career Development Award</t>
  </si>
  <si>
    <t>Role of Regional Left Ventricular Strain Patterns in Systemic Sclerosis-Related Pulmonary Hypertension</t>
  </si>
  <si>
    <t>7/1/23-6/30/26</t>
  </si>
  <si>
    <t>other grant is Scleroderman Foundation research grant, salary is only $19K</t>
  </si>
  <si>
    <t>9950001330</t>
  </si>
  <si>
    <t>Collen</t>
  </si>
  <si>
    <t>Tyler Brown</t>
  </si>
  <si>
    <t>1K08AI166125</t>
  </si>
  <si>
    <t>Geographic origins and dispersal of drug-resistant M. tuberculosis in South Africa: Advancing strategies for early detection</t>
  </si>
  <si>
    <t>8/2/2022-7/31/2026</t>
  </si>
  <si>
    <t xml:space="preserve">New faculty starting within ID 7/1/23. Dr. Barlam has offered him $180k of start-up funds as part of his recruitment package. </t>
  </si>
  <si>
    <t>$180k</t>
  </si>
  <si>
    <t>Pranay Sinha</t>
  </si>
  <si>
    <t xml:space="preserve">1K01AI167733-01A1 </t>
  </si>
  <si>
    <t>Nutritional Interventions to End Tuberculosis among persons with HIV in India (NUTRIENT-India)</t>
  </si>
  <si>
    <t>9/20/2023-8/31/2028</t>
  </si>
  <si>
    <t>Recruitment Package</t>
  </si>
  <si>
    <t>Rhea Kahrim</t>
  </si>
  <si>
    <t>Jean Liew</t>
  </si>
  <si>
    <t>FY23 Rheumatology Research Foundation Investigator Award</t>
  </si>
  <si>
    <t>The impact of spondyloarthritis treatement on chronic opioid use</t>
  </si>
  <si>
    <t>7/1/2022 - 6/30/2025</t>
  </si>
  <si>
    <t>DoM Pilot Award</t>
  </si>
  <si>
    <t>FY25 Base Salary</t>
  </si>
  <si>
    <t>Approved by committee</t>
  </si>
  <si>
    <t>Committee Notes</t>
  </si>
  <si>
    <t>5K23DK119542-04</t>
  </si>
  <si>
    <t>The Role of Dietary Nutrients in Chronic Kidney Disease Progression and Apolipoprotein L1 Nephropathy</t>
  </si>
  <si>
    <t>7/15/2020-3/31/2025</t>
  </si>
  <si>
    <t xml:space="preserve">K supplement </t>
  </si>
  <si>
    <t>TBD</t>
  </si>
  <si>
    <t>Endocrine</t>
  </si>
  <si>
    <t>6/1/2024-5/31/2025</t>
  </si>
  <si>
    <t>K Career Investment Award</t>
  </si>
  <si>
    <t>Expected to be at zero by 6/30/2024</t>
  </si>
  <si>
    <t>geriatrics</t>
  </si>
  <si>
    <t>Medicine</t>
  </si>
  <si>
    <t>NIH  K01 HP49060</t>
  </si>
  <si>
    <t>Column U: does NOT  includes fringe and is DoM share of last year</t>
  </si>
  <si>
    <t>Unsure</t>
  </si>
  <si>
    <t xml:space="preserve">No need to be place on CIA award, move to another funding source </t>
  </si>
  <si>
    <t>Grenier, Colleen</t>
  </si>
  <si>
    <t>Epstein, Rachel</t>
  </si>
  <si>
    <t>K01DA052821</t>
  </si>
  <si>
    <t>K supplement will be spent by the end of the FY</t>
  </si>
  <si>
    <t>Support will be considered determine of position Medicine vs Pediatrics</t>
  </si>
  <si>
    <t>K23AI152930</t>
  </si>
  <si>
    <t xml:space="preserve">Understanding HIV's impact on RR/MDR-TB development and transmission through genomics
</t>
  </si>
  <si>
    <t>K supplement &amp; Jr faculty award</t>
  </si>
  <si>
    <t>Evans Jr Faculty Award is new - $50k/year x 2 years</t>
  </si>
  <si>
    <t>Brown, Tyler</t>
  </si>
  <si>
    <t>K08AI166125</t>
  </si>
  <si>
    <t>7/13/2023-7/31/2026</t>
  </si>
  <si>
    <t>Sinha, Pranay</t>
  </si>
  <si>
    <t>K01AI167733</t>
  </si>
  <si>
    <t>Raquel Frankson/Aline Hillman</t>
  </si>
  <si>
    <t xml:space="preserve">salary is estimated at 3% increase over AY24 salary </t>
  </si>
  <si>
    <t>Justin Lui MD</t>
  </si>
  <si>
    <t xml:space="preserve">Marshall </t>
  </si>
  <si>
    <t>Carl Streed</t>
  </si>
  <si>
    <t xml:space="preserve">Research Operations </t>
  </si>
  <si>
    <t>5K01HL151902-03  </t>
  </si>
  <si>
    <t>Building methods to assess and address cardiovascular health in transgender adults</t>
  </si>
  <si>
    <t>4/15/2021-3/31/2026</t>
  </si>
  <si>
    <t>DOM Awards</t>
  </si>
  <si>
    <t>Eric Roseen</t>
  </si>
  <si>
    <t>5K23AT010487-05 </t>
  </si>
  <si>
    <t>Improving Access to Chiropractic Care for Low Back Pain in Underserved Primary Care Settings: Development and Evaluation of a Multi-level Implementation Strategy</t>
  </si>
  <si>
    <t>9/1/2019-8/31/2024</t>
  </si>
  <si>
    <t>Need to determine if we should continue to fund him, 6th year</t>
  </si>
  <si>
    <t>Mara Howitz Murray</t>
  </si>
  <si>
    <t>1K23HL165097-01A1</t>
  </si>
  <si>
    <t>From Hypertensive Pregnancy to Heart Health: Understanding and Addressing Multi_x0002_Level Barriers to Cardiovascular Health after Hypertensive Disorders of Pregnancy</t>
  </si>
  <si>
    <t>2/2/2024-1/31/2025</t>
  </si>
  <si>
    <t xml:space="preserve">Simeon Kimmel </t>
  </si>
  <si>
    <t>5K23DA054363-03</t>
  </si>
  <si>
    <t>7/15/2021-5/31/2026</t>
  </si>
  <si>
    <t>NIMH K23MH128639</t>
  </si>
  <si>
    <t>DOM Award, GIM Section Award</t>
  </si>
  <si>
    <t>Based on PA15 from July 2023-April 2024, $29,379.31 has been charged so $20,620.69 remains.</t>
  </si>
  <si>
    <t>Elliot Hagedorn</t>
  </si>
  <si>
    <t>5K01DK117790</t>
  </si>
  <si>
    <t>Diabetes, Digestive, and Kidney Diseases Extramural Research</t>
  </si>
  <si>
    <t>9/1/21-11/30/2024</t>
  </si>
  <si>
    <t>YEs</t>
  </si>
  <si>
    <t>2nd NCE was approved for the period of 12/1/23-11/30/24 however last year he only received funding from 7/1/23-11/30/23</t>
  </si>
  <si>
    <t>Should not receive CIA funds unless he has unspent funds to carry over</t>
  </si>
  <si>
    <t>Andrew Berical</t>
  </si>
  <si>
    <t>CFF Award</t>
  </si>
  <si>
    <t>7/1/22-6/30/25</t>
  </si>
  <si>
    <t>Yes, this is year 2 of the award</t>
  </si>
  <si>
    <t>Yes, Emily Entourage award has been funded, 100k per year for 2 years</t>
  </si>
  <si>
    <t>need to have clear timelines and more detailed plans for what the next grant will be prior to approval for DOM funding. </t>
  </si>
  <si>
    <t>Yes, this is year 2 of the K08</t>
  </si>
  <si>
    <t>pending P01, where this faculty has an ESI project with 25% effort</t>
  </si>
  <si>
    <t>Unsure if need additional funding to support salary, additional information required</t>
  </si>
  <si>
    <t>6. Are there more than 12 months remaining for this award as of 7/1/24?</t>
  </si>
  <si>
    <t>7. Provide anticipated FY25 salary</t>
  </si>
  <si>
    <t>FY26 Base Salary</t>
  </si>
  <si>
    <t xml:space="preserve"># of Months </t>
  </si>
  <si>
    <t xml:space="preserve">Clinical/Research Faculty </t>
  </si>
  <si>
    <t>Letter</t>
  </si>
  <si>
    <t xml:space="preserve">Provider </t>
  </si>
  <si>
    <t>Clinical: 9950001330
Research: 9950001348</t>
  </si>
  <si>
    <t>5K23DK119542-05</t>
  </si>
  <si>
    <t>7/15/2020-3/31/2026 (NCE)</t>
  </si>
  <si>
    <t xml:space="preserve">Received a NCE until 3/31/2026, DOM CIA was supported for 5 years, asking for additional year support. </t>
  </si>
  <si>
    <t>Unused CIA funds at the end of the K award they can be carried over</t>
  </si>
  <si>
    <t>31919008</t>
  </si>
  <si>
    <t>3190662</t>
  </si>
  <si>
    <t>Insa Schmidt</t>
  </si>
  <si>
    <t>1K01DK136973-02</t>
  </si>
  <si>
    <t>Deep learning approach for the assessment of arterial and arteriolar lesions in kidney biopsies and prediction of cardiovascular risk</t>
  </si>
  <si>
    <t>9/1/24-8/31/29</t>
  </si>
  <si>
    <t xml:space="preserve">RAP </t>
  </si>
  <si>
    <t>50/50</t>
  </si>
  <si>
    <t>Rebecca Carrs</t>
  </si>
  <si>
    <t>Ashish Verma</t>
  </si>
  <si>
    <t>AHA-24CDA1274501</t>
  </si>
  <si>
    <t>Renal Physiology of de-congestion in acute decompensated heart failure</t>
  </si>
  <si>
    <t>7/1/2024-6/30/2027</t>
  </si>
  <si>
    <t>Median, Dr. Salant's letter</t>
  </si>
  <si>
    <t>3191099</t>
  </si>
  <si>
    <t>Sudhir Kumar</t>
  </si>
  <si>
    <t>24CDA1272560</t>
  </si>
  <si>
    <t>Role of transcription factor ZEB2 in the differentiation and maintenance of renin-expressing juxtaglomerular cells</t>
  </si>
  <si>
    <t>3190791</t>
  </si>
  <si>
    <t>6/1/2025-5/31/2026</t>
  </si>
  <si>
    <t>Expected to be at zero by 5/31/2025</t>
  </si>
  <si>
    <t xml:space="preserve">Dr. Fantasia's current K award is under review and waiting for approval for Yr 3. </t>
  </si>
  <si>
    <t xml:space="preserve">50/50 if K is approved </t>
  </si>
  <si>
    <t>31912008</t>
  </si>
  <si>
    <t>3190353</t>
  </si>
  <si>
    <t>1K23AR082938</t>
  </si>
  <si>
    <t>The role of vitamin k in knee osteoarthritis outcomes</t>
  </si>
  <si>
    <t>9/20/2024 - 8/31/2029</t>
  </si>
  <si>
    <t>Career Inv award (K Supplement) for RRF , CTSI-DOM Pilot Grant, David Coleman Award</t>
  </si>
  <si>
    <t>Awarded RRF</t>
  </si>
  <si>
    <t>Projecting 3% Cola</t>
  </si>
  <si>
    <t>31921008</t>
  </si>
  <si>
    <t>3190951</t>
  </si>
  <si>
    <t>Laura Anastasi| Kiara Kerr</t>
  </si>
  <si>
    <t>K01HP49060‐02</t>
  </si>
  <si>
    <t>Geriatric Academic Career Awards Programs</t>
  </si>
  <si>
    <t>7/1/23-6/30/27</t>
  </si>
  <si>
    <t>Faculty  Development</t>
  </si>
  <si>
    <t>Grant ends 6/30/2027</t>
  </si>
  <si>
    <t>Hold</t>
  </si>
  <si>
    <t>Median, 41,018.33</t>
  </si>
  <si>
    <t>31915008</t>
  </si>
  <si>
    <t>3190948</t>
  </si>
  <si>
    <t>Aline Hillman|Raquel McDonald</t>
  </si>
  <si>
    <t>Yes - other grant is Sclermoderma Fndn., provides  ~ $19K salary</t>
  </si>
  <si>
    <t>AY26 salary is estimated at 3% increase over AY25 salary</t>
  </si>
  <si>
    <t>31920008</t>
  </si>
  <si>
    <t>3190915</t>
  </si>
  <si>
    <t>K23HL173709</t>
  </si>
  <si>
    <t>A Learning Health System Approach to Improve the Effectiveness of Blood Transfusions during Septic Shock</t>
  </si>
  <si>
    <t>8/15/24-7/31/29</t>
  </si>
  <si>
    <t>CIIS</t>
  </si>
  <si>
    <t>Yes - other grant is AHA, provides ~ $22K salary</t>
  </si>
  <si>
    <t>Jingzhou Zhang MD</t>
  </si>
  <si>
    <t xml:space="preserve">Medicine </t>
  </si>
  <si>
    <t>Parker B. Francis Fellowship</t>
  </si>
  <si>
    <t>Obesity-Related Determinants of COPD Heterogeneity: A Multiomics Investigation</t>
  </si>
  <si>
    <t>7/1/25-6/30/28</t>
  </si>
  <si>
    <t>new faculty 7/1/25</t>
  </si>
  <si>
    <t>3191889</t>
  </si>
  <si>
    <t>Pulmonary Center</t>
  </si>
  <si>
    <t>Meenakshi Lakshminarayanan</t>
  </si>
  <si>
    <t>Konstantinos Alysandratos</t>
  </si>
  <si>
    <t>5K08HL163494-03</t>
  </si>
  <si>
    <t>Utilizing induced pluripotent stem cells to study the role of alveolar type 2 cell dysfunction in pulmonary fibrosis</t>
  </si>
  <si>
    <t>-</t>
  </si>
  <si>
    <t>Faculty is an ESI investigator on a P01 award, which will pay 20% of NIH cap.</t>
  </si>
  <si>
    <r>
      <t>Alpha 1                 </t>
    </r>
    <r>
      <rPr>
        <u/>
        <sz val="11"/>
        <color rgb="FF242424"/>
        <rFont val="Calibri"/>
        <family val="2"/>
      </rPr>
      <t>7/1/25-6/30/28</t>
    </r>
    <r>
      <rPr>
        <sz val="11"/>
        <color rgb="FF242424"/>
        <rFont val="Calibri"/>
        <family val="2"/>
      </rPr>
      <t>                 </t>
    </r>
  </si>
  <si>
    <t>3190666</t>
  </si>
  <si>
    <t xml:space="preserve">Infectous Disease </t>
  </si>
  <si>
    <t xml:space="preserve">Tara Bouton </t>
  </si>
  <si>
    <t xml:space="preserve">Evans Award </t>
  </si>
  <si>
    <t>K ends 5/31/2026</t>
  </si>
  <si>
    <t xml:space="preserve">Research </t>
  </si>
  <si>
    <t>Will provide 2 months support until June 30, 2025 to enable preparation of alternative sources of support.</t>
  </si>
  <si>
    <t>50/50, use Dr. Salant's letter</t>
  </si>
  <si>
    <t>31918008</t>
  </si>
  <si>
    <t>3190960</t>
  </si>
  <si>
    <t xml:space="preserve">Tyler Brown </t>
  </si>
  <si>
    <t>08/02/2022-7/31/2026</t>
  </si>
  <si>
    <t xml:space="preserve">No </t>
  </si>
  <si>
    <t>K ends 7/31/2026</t>
  </si>
  <si>
    <t>3191680</t>
  </si>
  <si>
    <t xml:space="preserve">Rachel Epstein </t>
  </si>
  <si>
    <t>K ends 6/30/2027</t>
  </si>
  <si>
    <r>
      <t>PBF                        </t>
    </r>
    <r>
      <rPr>
        <u/>
        <sz val="11"/>
        <color rgb="FF242424"/>
        <rFont val="Calibri"/>
        <family val="2"/>
      </rPr>
      <t>7/1/25-6/30/28</t>
    </r>
  </si>
  <si>
    <t>3180360</t>
  </si>
  <si>
    <t xml:space="preserve">Pranay Sinha </t>
  </si>
  <si>
    <t>K ends 8/31/2028</t>
  </si>
  <si>
    <r>
      <t>                                $55,640 annual salary will cover ~ 27% of salary assuming JZ's salary is $205K upon hire </t>
    </r>
    <r>
      <rPr>
        <u/>
        <sz val="11"/>
        <color rgb="FF242424"/>
        <rFont val="Calibri"/>
        <family val="2"/>
      </rPr>
      <t>on 7/1/25</t>
    </r>
    <r>
      <rPr>
        <sz val="11"/>
        <color rgb="FF242424"/>
        <rFont val="Calibri"/>
        <family val="2"/>
      </rPr>
      <t>.</t>
    </r>
  </si>
  <si>
    <t>3190967</t>
  </si>
  <si>
    <t>$10,034.38 (Based on PAR from 7/1/24 to 2/28/25)</t>
  </si>
  <si>
    <t>31914008</t>
  </si>
  <si>
    <t>3190583</t>
  </si>
  <si>
    <t>9/1/2019-8/31/2025</t>
  </si>
  <si>
    <t>50/50,use letter you sent to Dr. Salant</t>
  </si>
  <si>
    <t>3191624</t>
  </si>
  <si>
    <t>2/2/2024-1/31/2029</t>
  </si>
  <si>
    <t>$21,115.04 (Based on PAR from 7/1/24 to 2/28/25)</t>
  </si>
  <si>
    <t>3190752</t>
  </si>
  <si>
    <t>$18,059 (Based on PAR from 7/1/24 to 2/28/25)</t>
  </si>
  <si>
    <t>3190596</t>
  </si>
  <si>
    <t>Raquel McDonald</t>
  </si>
  <si>
    <t>Joe Kaserman</t>
  </si>
  <si>
    <t>TBA</t>
  </si>
  <si>
    <t>Mechanisms of Metabolic Dysregulation in ZZ Alpha-1 Antitrypsin Deficiency Associated Liver Disease</t>
  </si>
  <si>
    <t>Fundable Score, pending NOGA</t>
  </si>
  <si>
    <t>3190421</t>
  </si>
  <si>
    <t>Justin Rucci</t>
  </si>
  <si>
    <t>Learning Health System Assessment and Refinement within United States Intensive Care Units (LEARN-ICU).”</t>
  </si>
  <si>
    <t>MEDIAN of Ks</t>
  </si>
  <si>
    <t xml:space="preserve">Median </t>
  </si>
  <si>
    <t>This median does not include the ones hightlighted in "Blue"</t>
  </si>
  <si>
    <t>6. Are there more than 12 months remaining for this award as of 7/1/25?</t>
  </si>
  <si>
    <t>7. Provide anticipated FY26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</si>
</sst>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;\(0.00\)"/>
    <numFmt numFmtId="165" formatCode="0.0"/>
    <numFmt numFmtId="166" formatCode="&quot;$&quot;#,##0"/>
    <numFmt numFmtId="167" formatCode="&quot;$&quot;#,##0.00"/>
    <numFmt numFmtId="168" formatCode="_(&quot;$&quot;* #,##0_);_(&quot;$&quot;* \(#,##0\);_(&quot;$&quot;* &quot;-&quot;??_);_(@_)"/>
    <numFmt numFmtId="169" formatCode="_(* #,##0.0000_);_(* \(#,##0.0000\);_(* &quot;-&quot;??_);_(@_)"/>
    <numFmt numFmtId="170" formatCode="_(* #,##0_);_(* \(#,##0\);_(* &quot;-&quot;??_);_(@_)"/>
    <numFmt numFmtId="171" formatCode="0.0%"/>
  </numFmts>
  <fonts count="22">
    <font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</font>
    <font>
      <b/>
      <sz val="14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333333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1"/>
      <charset val="204"/>
    </font>
    <font>
      <sz val="11"/>
      <color rgb="FF242424"/>
      <name val="Calibri"/>
      <family val="2"/>
    </font>
    <font>
      <u/>
      <sz val="11"/>
      <color rgb="FF242424"/>
      <name val="Calibri"/>
      <family val="2"/>
    </font>
    <font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3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8" fontId="2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8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165" fontId="0" fillId="0" borderId="0" xfId="0" applyNumberFormat="1"/>
    <xf numFmtId="166" fontId="0" fillId="0" borderId="0" xfId="0" applyNumberFormat="1"/>
    <xf numFmtId="8" fontId="0" fillId="0" borderId="0" xfId="0" applyNumberFormat="1"/>
    <xf numFmtId="6" fontId="0" fillId="0" borderId="0" xfId="0" applyNumberFormat="1"/>
    <xf numFmtId="167" fontId="0" fillId="0" borderId="0" xfId="0" applyNumberFormat="1"/>
    <xf numFmtId="0" fontId="5" fillId="0" borderId="0" xfId="0" applyFont="1" applyAlignment="1">
      <alignment wrapText="1"/>
    </xf>
    <xf numFmtId="9" fontId="0" fillId="0" borderId="0" xfId="3" applyFont="1" applyAlignment="1">
      <alignment wrapText="1"/>
    </xf>
    <xf numFmtId="44" fontId="0" fillId="0" borderId="0" xfId="2" applyFont="1" applyAlignment="1">
      <alignment wrapText="1"/>
    </xf>
    <xf numFmtId="43" fontId="0" fillId="0" borderId="0" xfId="1" applyFont="1" applyAlignment="1">
      <alignment wrapText="1"/>
    </xf>
    <xf numFmtId="14" fontId="0" fillId="0" borderId="0" xfId="0" applyNumberFormat="1" applyAlignment="1">
      <alignment wrapText="1"/>
    </xf>
    <xf numFmtId="43" fontId="0" fillId="0" borderId="0" xfId="1" applyFont="1" applyFill="1" applyAlignment="1">
      <alignment wrapText="1"/>
    </xf>
    <xf numFmtId="0" fontId="6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7" fillId="4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wrapText="1"/>
    </xf>
    <xf numFmtId="44" fontId="0" fillId="0" borderId="0" xfId="2" applyFont="1" applyFill="1"/>
    <xf numFmtId="14" fontId="0" fillId="0" borderId="0" xfId="0" applyNumberFormat="1"/>
    <xf numFmtId="0" fontId="6" fillId="4" borderId="0" xfId="0" applyFont="1" applyFill="1"/>
    <xf numFmtId="0" fontId="0" fillId="4" borderId="0" xfId="0" applyFill="1"/>
    <xf numFmtId="0" fontId="7" fillId="4" borderId="0" xfId="0" applyFont="1" applyFill="1"/>
    <xf numFmtId="0" fontId="8" fillId="4" borderId="0" xfId="0" applyFont="1" applyFill="1"/>
    <xf numFmtId="0" fontId="0" fillId="5" borderId="2" xfId="0" applyFill="1" applyBorder="1" applyAlignment="1">
      <alignment wrapText="1"/>
    </xf>
    <xf numFmtId="8" fontId="0" fillId="5" borderId="2" xfId="0" applyNumberFormat="1" applyFill="1" applyBorder="1" applyAlignment="1">
      <alignment wrapText="1"/>
    </xf>
    <xf numFmtId="8" fontId="0" fillId="5" borderId="2" xfId="0" applyNumberFormat="1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0" xfId="0" applyFill="1"/>
    <xf numFmtId="0" fontId="0" fillId="5" borderId="2" xfId="0" applyFill="1" applyBorder="1" applyAlignment="1">
      <alignment horizontal="left" wrapText="1"/>
    </xf>
    <xf numFmtId="0" fontId="0" fillId="6" borderId="2" xfId="0" applyFill="1" applyBorder="1" applyAlignment="1">
      <alignment wrapText="1"/>
    </xf>
    <xf numFmtId="8" fontId="0" fillId="6" borderId="2" xfId="0" applyNumberFormat="1" applyFill="1" applyBorder="1" applyAlignment="1">
      <alignment wrapText="1"/>
    </xf>
    <xf numFmtId="8" fontId="0" fillId="6" borderId="2" xfId="0" applyNumberFormat="1" applyFill="1" applyBorder="1"/>
    <xf numFmtId="8" fontId="11" fillId="6" borderId="2" xfId="0" applyNumberFormat="1" applyFont="1" applyFill="1" applyBorder="1" applyAlignment="1">
      <alignment horizontal="right"/>
    </xf>
    <xf numFmtId="8" fontId="11" fillId="6" borderId="2" xfId="0" applyNumberFormat="1" applyFont="1" applyFill="1" applyBorder="1"/>
    <xf numFmtId="0" fontId="0" fillId="6" borderId="2" xfId="0" applyFill="1" applyBorder="1"/>
    <xf numFmtId="0" fontId="0" fillId="7" borderId="2" xfId="0" applyFill="1" applyBorder="1" applyAlignment="1">
      <alignment wrapText="1"/>
    </xf>
    <xf numFmtId="8" fontId="0" fillId="7" borderId="2" xfId="0" applyNumberFormat="1" applyFill="1" applyBorder="1"/>
    <xf numFmtId="0" fontId="0" fillId="7" borderId="2" xfId="0" applyFill="1" applyBorder="1" applyAlignment="1">
      <alignment horizontal="left" wrapText="1"/>
    </xf>
    <xf numFmtId="8" fontId="0" fillId="7" borderId="2" xfId="0" applyNumberFormat="1" applyFill="1" applyBorder="1" applyAlignment="1">
      <alignment wrapText="1"/>
    </xf>
    <xf numFmtId="0" fontId="0" fillId="7" borderId="2" xfId="0" applyFill="1" applyBorder="1"/>
    <xf numFmtId="0" fontId="0" fillId="7" borderId="0" xfId="0" applyFill="1"/>
    <xf numFmtId="0" fontId="0" fillId="7" borderId="2" xfId="0" applyFill="1" applyBorder="1" applyAlignment="1">
      <alignment horizontal="left"/>
    </xf>
    <xf numFmtId="8" fontId="0" fillId="0" borderId="0" xfId="0" applyNumberFormat="1" applyAlignment="1">
      <alignment horizontal="right"/>
    </xf>
    <xf numFmtId="8" fontId="11" fillId="0" borderId="0" xfId="0" applyNumberFormat="1" applyFont="1" applyAlignment="1">
      <alignment horizontal="right"/>
    </xf>
    <xf numFmtId="8" fontId="11" fillId="0" borderId="4" xfId="0" applyNumberFormat="1" applyFont="1" applyBorder="1"/>
    <xf numFmtId="0" fontId="12" fillId="2" borderId="0" xfId="0" applyFont="1" applyFill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  <xf numFmtId="164" fontId="12" fillId="2" borderId="1" xfId="0" applyNumberFormat="1" applyFont="1" applyFill="1" applyBorder="1" applyAlignment="1">
      <alignment horizontal="left" vertical="top" wrapText="1"/>
    </xf>
    <xf numFmtId="8" fontId="12" fillId="2" borderId="1" xfId="0" applyNumberFormat="1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65" fontId="0" fillId="0" borderId="6" xfId="0" applyNumberFormat="1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166" fontId="0" fillId="0" borderId="6" xfId="0" applyNumberFormat="1" applyBorder="1" applyAlignment="1">
      <alignment horizontal="left" vertical="top"/>
    </xf>
    <xf numFmtId="8" fontId="0" fillId="0" borderId="6" xfId="0" applyNumberFormat="1" applyBorder="1" applyAlignment="1">
      <alignment horizontal="left" vertical="top"/>
    </xf>
    <xf numFmtId="6" fontId="0" fillId="0" borderId="6" xfId="0" applyNumberFormat="1" applyBorder="1" applyAlignment="1">
      <alignment horizontal="left" vertical="top"/>
    </xf>
    <xf numFmtId="167" fontId="0" fillId="0" borderId="6" xfId="0" applyNumberFormat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165" fontId="0" fillId="0" borderId="9" xfId="0" applyNumberFormat="1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166" fontId="0" fillId="0" borderId="9" xfId="0" applyNumberFormat="1" applyBorder="1" applyAlignment="1">
      <alignment horizontal="left" vertical="top"/>
    </xf>
    <xf numFmtId="8" fontId="0" fillId="0" borderId="9" xfId="0" applyNumberFormat="1" applyBorder="1" applyAlignment="1">
      <alignment horizontal="left" vertical="top"/>
    </xf>
    <xf numFmtId="167" fontId="0" fillId="0" borderId="9" xfId="0" applyNumberForma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4" borderId="5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top"/>
    </xf>
    <xf numFmtId="165" fontId="0" fillId="4" borderId="6" xfId="0" applyNumberFormat="1" applyFill="1" applyBorder="1" applyAlignment="1">
      <alignment horizontal="left" vertical="top"/>
    </xf>
    <xf numFmtId="0" fontId="0" fillId="4" borderId="6" xfId="0" applyFill="1" applyBorder="1" applyAlignment="1">
      <alignment horizontal="left" vertical="top" wrapText="1"/>
    </xf>
    <xf numFmtId="42" fontId="0" fillId="4" borderId="6" xfId="0" applyNumberFormat="1" applyFill="1" applyBorder="1" applyAlignment="1">
      <alignment horizontal="left" vertical="top"/>
    </xf>
    <xf numFmtId="44" fontId="0" fillId="4" borderId="6" xfId="0" applyNumberFormat="1" applyFill="1" applyBorder="1" applyAlignment="1">
      <alignment horizontal="left" vertical="top"/>
    </xf>
    <xf numFmtId="0" fontId="0" fillId="4" borderId="7" xfId="0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165" fontId="0" fillId="0" borderId="6" xfId="0" applyNumberFormat="1" applyBorder="1" applyAlignment="1">
      <alignment horizontal="left"/>
    </xf>
    <xf numFmtId="0" fontId="0" fillId="0" borderId="6" xfId="0" applyBorder="1" applyAlignment="1">
      <alignment horizontal="left" wrapText="1"/>
    </xf>
    <xf numFmtId="166" fontId="0" fillId="0" borderId="6" xfId="0" applyNumberFormat="1" applyBorder="1" applyAlignment="1">
      <alignment horizontal="left"/>
    </xf>
    <xf numFmtId="6" fontId="0" fillId="0" borderId="6" xfId="0" applyNumberFormat="1" applyBorder="1" applyAlignment="1">
      <alignment horizontal="left"/>
    </xf>
    <xf numFmtId="42" fontId="0" fillId="0" borderId="6" xfId="0" applyNumberFormat="1" applyBorder="1" applyAlignment="1">
      <alignment horizontal="left"/>
    </xf>
    <xf numFmtId="167" fontId="0" fillId="0" borderId="6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/>
    <xf numFmtId="8" fontId="0" fillId="0" borderId="0" xfId="2" applyNumberFormat="1" applyFont="1" applyAlignment="1">
      <alignment wrapText="1"/>
    </xf>
    <xf numFmtId="9" fontId="0" fillId="0" borderId="0" xfId="3" applyFont="1" applyFill="1" applyAlignment="1">
      <alignment wrapText="1"/>
    </xf>
    <xf numFmtId="44" fontId="0" fillId="0" borderId="0" xfId="2" applyFont="1" applyFill="1" applyAlignment="1">
      <alignment wrapText="1"/>
    </xf>
    <xf numFmtId="9" fontId="0" fillId="0" borderId="0" xfId="0" applyNumberFormat="1" applyAlignment="1">
      <alignment wrapText="1"/>
    </xf>
    <xf numFmtId="8" fontId="0" fillId="0" borderId="0" xfId="0" applyNumberFormat="1" applyAlignment="1">
      <alignment horizontal="left" vertical="top"/>
    </xf>
    <xf numFmtId="0" fontId="8" fillId="4" borderId="0" xfId="0" applyFont="1" applyFill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167" fontId="5" fillId="0" borderId="0" xfId="0" applyNumberFormat="1" applyFont="1" applyAlignment="1">
      <alignment wrapText="1"/>
    </xf>
    <xf numFmtId="3" fontId="0" fillId="0" borderId="0" xfId="0" applyNumberFormat="1"/>
    <xf numFmtId="168" fontId="0" fillId="0" borderId="0" xfId="2" applyNumberFormat="1" applyFont="1"/>
    <xf numFmtId="168" fontId="0" fillId="0" borderId="0" xfId="2" applyNumberFormat="1" applyFont="1" applyFill="1"/>
    <xf numFmtId="0" fontId="0" fillId="0" borderId="0" xfId="0" applyAlignment="1">
      <alignment horizontal="right"/>
    </xf>
    <xf numFmtId="0" fontId="7" fillId="0" borderId="0" xfId="0" applyFont="1" applyAlignment="1">
      <alignment horizontal="justify"/>
    </xf>
    <xf numFmtId="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6" fontId="0" fillId="0" borderId="0" xfId="0" applyNumberFormat="1" applyAlignment="1">
      <alignment horizontal="left" vertical="top"/>
    </xf>
    <xf numFmtId="0" fontId="0" fillId="8" borderId="0" xfId="0" applyFill="1" applyAlignment="1">
      <alignment horizontal="left" vertical="top"/>
    </xf>
    <xf numFmtId="8" fontId="0" fillId="8" borderId="0" xfId="0" applyNumberFormat="1" applyFill="1" applyAlignment="1">
      <alignment horizontal="left" vertical="top"/>
    </xf>
    <xf numFmtId="8" fontId="0" fillId="8" borderId="0" xfId="0" applyNumberFormat="1" applyFill="1" applyAlignment="1">
      <alignment horizontal="left" vertical="top" wrapText="1"/>
    </xf>
    <xf numFmtId="168" fontId="0" fillId="8" borderId="0" xfId="2" applyNumberFormat="1" applyFont="1" applyFill="1" applyAlignment="1">
      <alignment horizontal="left" vertical="top"/>
    </xf>
    <xf numFmtId="167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0" fillId="0" borderId="0" xfId="0" applyAlignment="1">
      <alignment vertical="top"/>
    </xf>
    <xf numFmtId="0" fontId="7" fillId="0" borderId="0" xfId="0" applyFont="1" applyAlignment="1">
      <alignment horizontal="left" vertical="top" wrapText="1"/>
    </xf>
    <xf numFmtId="9" fontId="0" fillId="0" borderId="0" xfId="3" applyFont="1" applyFill="1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43" fontId="0" fillId="0" borderId="0" xfId="1" applyFont="1" applyFill="1" applyAlignment="1">
      <alignment horizontal="left" vertical="top" wrapText="1"/>
    </xf>
    <xf numFmtId="8" fontId="0" fillId="0" borderId="0" xfId="2" applyNumberFormat="1" applyFont="1" applyFill="1" applyAlignment="1">
      <alignment horizontal="left" vertical="top" wrapText="1"/>
    </xf>
    <xf numFmtId="43" fontId="0" fillId="0" borderId="0" xfId="1" applyFont="1"/>
    <xf numFmtId="43" fontId="0" fillId="0" borderId="0" xfId="1" applyFont="1" applyAlignment="1"/>
    <xf numFmtId="9" fontId="0" fillId="0" borderId="0" xfId="3" applyFont="1" applyAlignment="1">
      <alignment horizontal="center"/>
    </xf>
    <xf numFmtId="10" fontId="0" fillId="0" borderId="0" xfId="0" applyNumberFormat="1"/>
    <xf numFmtId="0" fontId="16" fillId="2" borderId="2" xfId="0" applyFont="1" applyFill="1" applyBorder="1" applyAlignment="1">
      <alignment horizontal="left" vertical="center" wrapText="1"/>
    </xf>
    <xf numFmtId="164" fontId="16" fillId="2" borderId="2" xfId="0" applyNumberFormat="1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43" fontId="16" fillId="2" borderId="2" xfId="1" applyFont="1" applyFill="1" applyBorder="1" applyAlignment="1">
      <alignment horizontal="center" vertical="center" wrapText="1"/>
    </xf>
    <xf numFmtId="43" fontId="16" fillId="2" borderId="2" xfId="1" applyFont="1" applyFill="1" applyBorder="1" applyAlignment="1">
      <alignment vertical="center" wrapText="1"/>
    </xf>
    <xf numFmtId="9" fontId="16" fillId="2" borderId="2" xfId="3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7" fillId="9" borderId="11" xfId="0" applyFont="1" applyFill="1" applyBorder="1" applyAlignment="1" applyProtection="1">
      <alignment horizontal="left" vertical="top"/>
      <protection locked="0"/>
    </xf>
    <xf numFmtId="165" fontId="17" fillId="9" borderId="11" xfId="0" applyNumberFormat="1" applyFont="1" applyFill="1" applyBorder="1" applyAlignment="1" applyProtection="1">
      <alignment horizontal="left" vertical="top"/>
      <protection locked="0"/>
    </xf>
    <xf numFmtId="0" fontId="17" fillId="9" borderId="11" xfId="0" applyFont="1" applyFill="1" applyBorder="1" applyAlignment="1" applyProtection="1">
      <alignment horizontal="left" vertical="top" wrapText="1"/>
      <protection locked="0"/>
    </xf>
    <xf numFmtId="43" fontId="17" fillId="9" borderId="11" xfId="1" applyFont="1" applyFill="1" applyBorder="1" applyAlignment="1" applyProtection="1">
      <alignment horizontal="left" vertical="top"/>
      <protection locked="0"/>
    </xf>
    <xf numFmtId="43" fontId="17" fillId="9" borderId="11" xfId="1" applyFont="1" applyFill="1" applyBorder="1" applyAlignment="1" applyProtection="1">
      <alignment vertical="top"/>
      <protection locked="0"/>
    </xf>
    <xf numFmtId="9" fontId="17" fillId="9" borderId="11" xfId="3" applyFont="1" applyFill="1" applyBorder="1" applyAlignment="1" applyProtection="1">
      <alignment horizontal="center" vertical="top"/>
      <protection locked="0"/>
    </xf>
    <xf numFmtId="8" fontId="17" fillId="9" borderId="11" xfId="0" applyNumberFormat="1" applyFont="1" applyFill="1" applyBorder="1" applyAlignment="1" applyProtection="1">
      <alignment horizontal="left" vertical="top"/>
      <protection locked="0"/>
    </xf>
    <xf numFmtId="8" fontId="17" fillId="9" borderId="11" xfId="0" applyNumberFormat="1" applyFont="1" applyFill="1" applyBorder="1" applyAlignment="1" applyProtection="1">
      <alignment horizontal="left" vertical="top" wrapText="1"/>
      <protection locked="0"/>
    </xf>
    <xf numFmtId="8" fontId="17" fillId="9" borderId="2" xfId="0" applyNumberFormat="1" applyFont="1" applyFill="1" applyBorder="1" applyAlignment="1" applyProtection="1">
      <alignment horizontal="left" vertical="top"/>
      <protection locked="0"/>
    </xf>
    <xf numFmtId="167" fontId="0" fillId="0" borderId="2" xfId="0" applyNumberFormat="1" applyBorder="1" applyAlignment="1">
      <alignment horizontal="center" vertical="center"/>
    </xf>
    <xf numFmtId="43" fontId="0" fillId="0" borderId="0" xfId="0" applyNumberFormat="1"/>
    <xf numFmtId="0" fontId="17" fillId="9" borderId="2" xfId="0" applyFont="1" applyFill="1" applyBorder="1" applyAlignment="1" applyProtection="1">
      <alignment horizontal="left" vertical="top"/>
      <protection locked="0"/>
    </xf>
    <xf numFmtId="165" fontId="17" fillId="9" borderId="2" xfId="0" applyNumberFormat="1" applyFont="1" applyFill="1" applyBorder="1" applyAlignment="1" applyProtection="1">
      <alignment horizontal="left" vertical="top"/>
      <protection locked="0"/>
    </xf>
    <xf numFmtId="0" fontId="17" fillId="9" borderId="2" xfId="0" applyFont="1" applyFill="1" applyBorder="1" applyAlignment="1" applyProtection="1">
      <alignment horizontal="left" vertical="top" wrapText="1"/>
      <protection locked="0"/>
    </xf>
    <xf numFmtId="43" fontId="17" fillId="9" borderId="2" xfId="1" applyFont="1" applyFill="1" applyBorder="1" applyAlignment="1" applyProtection="1">
      <alignment horizontal="left" vertical="top"/>
      <protection locked="0"/>
    </xf>
    <xf numFmtId="43" fontId="17" fillId="9" borderId="2" xfId="1" applyFont="1" applyFill="1" applyBorder="1" applyAlignment="1" applyProtection="1">
      <alignment vertical="top"/>
      <protection locked="0"/>
    </xf>
    <xf numFmtId="9" fontId="17" fillId="9" borderId="2" xfId="3" applyFont="1" applyFill="1" applyBorder="1" applyAlignment="1" applyProtection="1">
      <alignment horizontal="center" vertical="top"/>
      <protection locked="0"/>
    </xf>
    <xf numFmtId="9" fontId="17" fillId="4" borderId="2" xfId="3" applyFont="1" applyFill="1" applyBorder="1" applyAlignment="1" applyProtection="1">
      <alignment horizontal="center" vertical="top"/>
      <protection locked="0"/>
    </xf>
    <xf numFmtId="43" fontId="17" fillId="9" borderId="2" xfId="1" applyFont="1" applyFill="1" applyBorder="1" applyAlignment="1" applyProtection="1">
      <alignment horizontal="left" vertical="top" wrapText="1"/>
      <protection locked="0"/>
    </xf>
    <xf numFmtId="43" fontId="17" fillId="9" borderId="2" xfId="1" applyFont="1" applyFill="1" applyBorder="1" applyAlignment="1" applyProtection="1">
      <alignment vertical="top" wrapText="1"/>
      <protection locked="0"/>
    </xf>
    <xf numFmtId="9" fontId="17" fillId="4" borderId="2" xfId="3" applyFont="1" applyFill="1" applyBorder="1" applyAlignment="1" applyProtection="1">
      <alignment horizontal="center" vertical="top" wrapText="1"/>
      <protection locked="0"/>
    </xf>
    <xf numFmtId="0" fontId="17" fillId="9" borderId="2" xfId="0" applyFont="1" applyFill="1" applyBorder="1" applyProtection="1">
      <protection locked="0"/>
    </xf>
    <xf numFmtId="0" fontId="17" fillId="9" borderId="2" xfId="0" applyFont="1" applyFill="1" applyBorder="1" applyAlignment="1" applyProtection="1">
      <alignment wrapText="1"/>
      <protection locked="0"/>
    </xf>
    <xf numFmtId="43" fontId="17" fillId="9" borderId="2" xfId="1" applyFont="1" applyFill="1" applyBorder="1" applyProtection="1">
      <protection locked="0"/>
    </xf>
    <xf numFmtId="43" fontId="17" fillId="9" borderId="2" xfId="1" applyFont="1" applyFill="1" applyBorder="1" applyAlignment="1" applyProtection="1">
      <protection locked="0"/>
    </xf>
    <xf numFmtId="9" fontId="17" fillId="4" borderId="2" xfId="3" applyFont="1" applyFill="1" applyBorder="1" applyAlignment="1" applyProtection="1">
      <alignment horizontal="center"/>
      <protection locked="0"/>
    </xf>
    <xf numFmtId="8" fontId="17" fillId="9" borderId="2" xfId="0" applyNumberFormat="1" applyFont="1" applyFill="1" applyBorder="1" applyProtection="1">
      <protection locked="0"/>
    </xf>
    <xf numFmtId="8" fontId="17" fillId="9" borderId="2" xfId="0" applyNumberFormat="1" applyFont="1" applyFill="1" applyBorder="1" applyAlignment="1" applyProtection="1">
      <alignment horizontal="left"/>
      <protection locked="0"/>
    </xf>
    <xf numFmtId="9" fontId="17" fillId="9" borderId="2" xfId="3" applyFont="1" applyFill="1" applyBorder="1" applyAlignment="1" applyProtection="1">
      <alignment horizontal="center"/>
      <protection locked="0"/>
    </xf>
    <xf numFmtId="8" fontId="17" fillId="9" borderId="2" xfId="0" applyNumberFormat="1" applyFont="1" applyFill="1" applyBorder="1" applyAlignment="1" applyProtection="1">
      <alignment wrapText="1"/>
      <protection locked="0"/>
    </xf>
    <xf numFmtId="165" fontId="17" fillId="9" borderId="2" xfId="0" applyNumberFormat="1" applyFont="1" applyFill="1" applyBorder="1" applyProtection="1">
      <protection locked="0"/>
    </xf>
    <xf numFmtId="43" fontId="17" fillId="9" borderId="2" xfId="1" applyFont="1" applyFill="1" applyBorder="1" applyAlignment="1" applyProtection="1">
      <alignment wrapText="1"/>
      <protection locked="0"/>
    </xf>
    <xf numFmtId="9" fontId="17" fillId="4" borderId="11" xfId="3" applyFont="1" applyFill="1" applyBorder="1" applyAlignment="1" applyProtection="1">
      <alignment horizontal="center" vertical="top"/>
      <protection locked="0"/>
    </xf>
    <xf numFmtId="9" fontId="0" fillId="4" borderId="2" xfId="3" applyFont="1" applyFill="1" applyBorder="1" applyAlignment="1">
      <alignment horizontal="center"/>
    </xf>
    <xf numFmtId="0" fontId="11" fillId="0" borderId="0" xfId="0" applyFont="1" applyAlignment="1">
      <alignment horizontal="right"/>
    </xf>
    <xf numFmtId="167" fontId="11" fillId="0" borderId="0" xfId="0" applyNumberFormat="1" applyFont="1" applyAlignment="1">
      <alignment horizontal="center"/>
    </xf>
    <xf numFmtId="43" fontId="0" fillId="0" borderId="0" xfId="1" applyFont="1" applyAlignment="1">
      <alignment horizontal="center"/>
    </xf>
    <xf numFmtId="2" fontId="17" fillId="9" borderId="11" xfId="0" applyNumberFormat="1" applyFont="1" applyFill="1" applyBorder="1" applyAlignment="1" applyProtection="1">
      <alignment horizontal="left" vertical="top"/>
      <protection locked="0"/>
    </xf>
    <xf numFmtId="0" fontId="18" fillId="9" borderId="0" xfId="0" applyFont="1" applyFill="1" applyAlignment="1">
      <alignment horizontal="left" vertical="top" wrapText="1"/>
    </xf>
    <xf numFmtId="43" fontId="17" fillId="4" borderId="11" xfId="1" applyFont="1" applyFill="1" applyBorder="1" applyAlignment="1" applyProtection="1">
      <alignment vertical="top"/>
      <protection locked="0"/>
    </xf>
    <xf numFmtId="43" fontId="17" fillId="9" borderId="11" xfId="1" applyFont="1" applyFill="1" applyBorder="1" applyAlignment="1" applyProtection="1">
      <alignment horizontal="center" vertical="top"/>
      <protection locked="0"/>
    </xf>
    <xf numFmtId="9" fontId="17" fillId="9" borderId="11" xfId="1" applyNumberFormat="1" applyFont="1" applyFill="1" applyBorder="1" applyAlignment="1" applyProtection="1">
      <alignment horizontal="left" vertical="top"/>
      <protection locked="0"/>
    </xf>
    <xf numFmtId="10" fontId="17" fillId="9" borderId="11" xfId="3" applyNumberFormat="1" applyFont="1" applyFill="1" applyBorder="1" applyAlignment="1" applyProtection="1">
      <alignment horizontal="center" vertical="top"/>
      <protection locked="0"/>
    </xf>
    <xf numFmtId="8" fontId="17" fillId="9" borderId="2" xfId="0" applyNumberFormat="1" applyFont="1" applyFill="1" applyBorder="1" applyAlignment="1" applyProtection="1">
      <alignment horizontal="left" vertical="top" wrapText="1"/>
      <protection locked="0"/>
    </xf>
    <xf numFmtId="167" fontId="0" fillId="4" borderId="2" xfId="0" applyNumberFormat="1" applyFill="1" applyBorder="1" applyAlignment="1">
      <alignment horizontal="center" vertical="center"/>
    </xf>
    <xf numFmtId="43" fontId="0" fillId="0" borderId="2" xfId="0" applyNumberFormat="1" applyBorder="1"/>
    <xf numFmtId="43" fontId="17" fillId="4" borderId="2" xfId="1" applyFont="1" applyFill="1" applyBorder="1" applyAlignment="1" applyProtection="1">
      <alignment vertical="top"/>
      <protection locked="0"/>
    </xf>
    <xf numFmtId="43" fontId="17" fillId="9" borderId="2" xfId="1" applyFont="1" applyFill="1" applyBorder="1" applyAlignment="1" applyProtection="1">
      <alignment horizontal="center" vertical="top"/>
      <protection locked="0"/>
    </xf>
    <xf numFmtId="43" fontId="0" fillId="0" borderId="2" xfId="0" applyNumberFormat="1" applyBorder="1" applyAlignment="1">
      <alignment wrapText="1"/>
    </xf>
    <xf numFmtId="2" fontId="17" fillId="9" borderId="2" xfId="0" applyNumberFormat="1" applyFont="1" applyFill="1" applyBorder="1" applyAlignment="1" applyProtection="1">
      <alignment horizontal="left" vertical="top"/>
      <protection locked="0"/>
    </xf>
    <xf numFmtId="10" fontId="17" fillId="9" borderId="2" xfId="3" applyNumberFormat="1" applyFont="1" applyFill="1" applyBorder="1" applyAlignment="1" applyProtection="1">
      <alignment horizontal="center" vertical="top"/>
      <protection locked="0"/>
    </xf>
    <xf numFmtId="0" fontId="17" fillId="9" borderId="2" xfId="0" applyFont="1" applyFill="1" applyBorder="1" applyAlignment="1" applyProtection="1">
      <alignment horizontal="left" wrapText="1"/>
      <protection locked="0"/>
    </xf>
    <xf numFmtId="9" fontId="17" fillId="9" borderId="11" xfId="0" applyNumberFormat="1" applyFont="1" applyFill="1" applyBorder="1" applyAlignment="1" applyProtection="1">
      <alignment horizontal="left" vertical="top"/>
      <protection locked="0"/>
    </xf>
    <xf numFmtId="8" fontId="17" fillId="3" borderId="11" xfId="0" applyNumberFormat="1" applyFont="1" applyFill="1" applyBorder="1" applyAlignment="1" applyProtection="1">
      <alignment horizontal="left" vertical="top"/>
      <protection locked="0"/>
    </xf>
    <xf numFmtId="0" fontId="17" fillId="3" borderId="2" xfId="0" applyFont="1" applyFill="1" applyBorder="1" applyAlignment="1" applyProtection="1">
      <alignment horizontal="left" vertical="top"/>
      <protection locked="0"/>
    </xf>
    <xf numFmtId="165" fontId="17" fillId="3" borderId="2" xfId="0" applyNumberFormat="1" applyFont="1" applyFill="1" applyBorder="1" applyAlignment="1" applyProtection="1">
      <alignment horizontal="left" vertical="top"/>
      <protection locked="0"/>
    </xf>
    <xf numFmtId="0" fontId="17" fillId="3" borderId="2" xfId="0" applyFont="1" applyFill="1" applyBorder="1" applyAlignment="1" applyProtection="1">
      <alignment horizontal="left" vertical="top" wrapText="1"/>
      <protection locked="0"/>
    </xf>
    <xf numFmtId="8" fontId="17" fillId="9" borderId="2" xfId="0" applyNumberFormat="1" applyFont="1" applyFill="1" applyBorder="1" applyAlignment="1" applyProtection="1">
      <alignment horizontal="center" vertical="top"/>
      <protection locked="0"/>
    </xf>
    <xf numFmtId="9" fontId="17" fillId="3" borderId="2" xfId="3" applyFont="1" applyFill="1" applyBorder="1" applyAlignment="1" applyProtection="1">
      <alignment horizontal="center" vertical="top"/>
      <protection locked="0"/>
    </xf>
    <xf numFmtId="8" fontId="17" fillId="3" borderId="2" xfId="0" applyNumberFormat="1" applyFont="1" applyFill="1" applyBorder="1" applyAlignment="1" applyProtection="1">
      <alignment horizontal="left" vertical="top" wrapText="1"/>
      <protection locked="0"/>
    </xf>
    <xf numFmtId="8" fontId="17" fillId="3" borderId="2" xfId="0" applyNumberFormat="1" applyFont="1" applyFill="1" applyBorder="1" applyAlignment="1" applyProtection="1">
      <alignment horizontal="left" vertical="top"/>
      <protection locked="0"/>
    </xf>
    <xf numFmtId="6" fontId="17" fillId="9" borderId="11" xfId="1" applyNumberFormat="1" applyFont="1" applyFill="1" applyBorder="1" applyAlignment="1" applyProtection="1">
      <alignment horizontal="center" vertical="top"/>
      <protection locked="0"/>
    </xf>
    <xf numFmtId="169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10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 applyProtection="1">
      <alignment horizontal="left" vertical="top"/>
      <protection locked="0"/>
    </xf>
    <xf numFmtId="9" fontId="17" fillId="9" borderId="11" xfId="1" applyNumberFormat="1" applyFont="1" applyFill="1" applyBorder="1" applyAlignment="1" applyProtection="1">
      <alignment horizontal="center" vertical="top"/>
      <protection locked="0"/>
    </xf>
    <xf numFmtId="14" fontId="17" fillId="9" borderId="11" xfId="0" applyNumberFormat="1" applyFont="1" applyFill="1" applyBorder="1" applyAlignment="1" applyProtection="1">
      <alignment horizontal="left" vertical="top" wrapText="1"/>
      <protection locked="0"/>
    </xf>
    <xf numFmtId="170" fontId="17" fillId="9" borderId="11" xfId="1" applyNumberFormat="1" applyFont="1" applyFill="1" applyBorder="1" applyAlignment="1" applyProtection="1">
      <alignment horizontal="center" vertical="center" wrapText="1"/>
      <protection locked="0"/>
    </xf>
    <xf numFmtId="43" fontId="0" fillId="0" borderId="2" xfId="0" applyNumberFormat="1" applyBorder="1" applyAlignment="1">
      <alignment horizontal="left" vertical="top"/>
    </xf>
    <xf numFmtId="43" fontId="0" fillId="0" borderId="2" xfId="0" quotePrefix="1" applyNumberFormat="1" applyBorder="1"/>
    <xf numFmtId="0" fontId="0" fillId="0" borderId="2" xfId="0" applyBorder="1"/>
    <xf numFmtId="0" fontId="0" fillId="0" borderId="2" xfId="0" quotePrefix="1" applyBorder="1"/>
    <xf numFmtId="43" fontId="0" fillId="0" borderId="2" xfId="0" applyNumberFormat="1" applyBorder="1" applyAlignment="1">
      <alignment horizontal="left" vertical="center" wrapText="1"/>
    </xf>
    <xf numFmtId="43" fontId="0" fillId="0" borderId="2" xfId="0" applyNumberFormat="1" applyBorder="1" applyAlignment="1">
      <alignment horizontal="left" vertical="top" wrapText="1"/>
    </xf>
    <xf numFmtId="0" fontId="17" fillId="12" borderId="11" xfId="0" applyFont="1" applyFill="1" applyBorder="1" applyAlignment="1" applyProtection="1">
      <alignment horizontal="left" vertical="top" wrapText="1"/>
      <protection locked="0"/>
    </xf>
    <xf numFmtId="0" fontId="17" fillId="12" borderId="2" xfId="0" applyFont="1" applyFill="1" applyBorder="1" applyAlignment="1" applyProtection="1">
      <alignment horizontal="left" vertical="top" wrapText="1"/>
      <protection locked="0"/>
    </xf>
    <xf numFmtId="0" fontId="17" fillId="12" borderId="2" xfId="0" applyFont="1" applyFill="1" applyBorder="1" applyAlignment="1" applyProtection="1">
      <alignment horizontal="left" vertical="top"/>
      <protection locked="0"/>
    </xf>
    <xf numFmtId="2" fontId="17" fillId="12" borderId="2" xfId="0" applyNumberFormat="1" applyFont="1" applyFill="1" applyBorder="1" applyAlignment="1" applyProtection="1">
      <alignment horizontal="left" vertical="top"/>
      <protection locked="0"/>
    </xf>
    <xf numFmtId="165" fontId="17" fillId="12" borderId="2" xfId="0" applyNumberFormat="1" applyFont="1" applyFill="1" applyBorder="1" applyAlignment="1" applyProtection="1">
      <alignment horizontal="left" vertical="top"/>
      <protection locked="0"/>
    </xf>
    <xf numFmtId="43" fontId="17" fillId="12" borderId="2" xfId="1" applyFont="1" applyFill="1" applyBorder="1" applyAlignment="1" applyProtection="1">
      <alignment vertical="top"/>
      <protection locked="0"/>
    </xf>
    <xf numFmtId="43" fontId="17" fillId="12" borderId="2" xfId="1" applyFont="1" applyFill="1" applyBorder="1" applyAlignment="1" applyProtection="1">
      <alignment horizontal="center" vertical="top"/>
      <protection locked="0"/>
    </xf>
    <xf numFmtId="9" fontId="17" fillId="12" borderId="11" xfId="1" applyNumberFormat="1" applyFont="1" applyFill="1" applyBorder="1" applyAlignment="1" applyProtection="1">
      <alignment horizontal="center" vertical="top"/>
      <protection locked="0"/>
    </xf>
    <xf numFmtId="10" fontId="17" fillId="12" borderId="2" xfId="3" applyNumberFormat="1" applyFont="1" applyFill="1" applyBorder="1" applyAlignment="1" applyProtection="1">
      <alignment horizontal="center" vertical="top"/>
      <protection locked="0"/>
    </xf>
    <xf numFmtId="8" fontId="17" fillId="12" borderId="11" xfId="0" applyNumberFormat="1" applyFont="1" applyFill="1" applyBorder="1" applyAlignment="1" applyProtection="1">
      <alignment horizontal="left" vertical="top"/>
      <protection locked="0"/>
    </xf>
    <xf numFmtId="8" fontId="17" fillId="12" borderId="11" xfId="0" applyNumberFormat="1" applyFont="1" applyFill="1" applyBorder="1" applyAlignment="1" applyProtection="1">
      <alignment horizontal="left" vertical="top" wrapText="1"/>
      <protection locked="0"/>
    </xf>
    <xf numFmtId="8" fontId="17" fillId="12" borderId="2" xfId="0" applyNumberFormat="1" applyFont="1" applyFill="1" applyBorder="1" applyAlignment="1" applyProtection="1">
      <alignment horizontal="left" vertical="top"/>
      <protection locked="0"/>
    </xf>
    <xf numFmtId="8" fontId="17" fillId="12" borderId="2" xfId="0" applyNumberFormat="1" applyFont="1" applyFill="1" applyBorder="1" applyAlignment="1" applyProtection="1">
      <alignment horizontal="left" vertical="top" wrapText="1"/>
      <protection locked="0"/>
    </xf>
    <xf numFmtId="14" fontId="17" fillId="12" borderId="2" xfId="0" applyNumberFormat="1" applyFont="1" applyFill="1" applyBorder="1" applyAlignment="1" applyProtection="1">
      <alignment horizontal="left" vertical="top"/>
      <protection locked="0"/>
    </xf>
    <xf numFmtId="170" fontId="17" fillId="12" borderId="11" xfId="1" applyNumberFormat="1" applyFont="1" applyFill="1" applyBorder="1" applyAlignment="1" applyProtection="1">
      <alignment horizontal="center" vertical="center" wrapText="1"/>
      <protection locked="0"/>
    </xf>
    <xf numFmtId="167" fontId="0" fillId="12" borderId="2" xfId="0" applyNumberFormat="1" applyFill="1" applyBorder="1" applyAlignment="1">
      <alignment horizontal="center" vertical="center"/>
    </xf>
    <xf numFmtId="43" fontId="0" fillId="12" borderId="2" xfId="0" applyNumberFormat="1" applyFill="1" applyBorder="1"/>
    <xf numFmtId="43" fontId="11" fillId="12" borderId="2" xfId="0" applyNumberFormat="1" applyFont="1" applyFill="1" applyBorder="1" applyAlignment="1">
      <alignment horizontal="left" vertical="top" wrapText="1"/>
    </xf>
    <xf numFmtId="43" fontId="0" fillId="12" borderId="2" xfId="0" quotePrefix="1" applyNumberFormat="1" applyFill="1" applyBorder="1"/>
    <xf numFmtId="0" fontId="0" fillId="12" borderId="2" xfId="0" applyFill="1" applyBorder="1"/>
    <xf numFmtId="0" fontId="0" fillId="12" borderId="2" xfId="0" quotePrefix="1" applyFill="1" applyBorder="1"/>
    <xf numFmtId="0" fontId="0" fillId="12" borderId="0" xfId="0" applyFill="1"/>
    <xf numFmtId="14" fontId="17" fillId="9" borderId="2" xfId="0" applyNumberFormat="1" applyFont="1" applyFill="1" applyBorder="1" applyAlignment="1" applyProtection="1">
      <alignment horizontal="left" vertical="top"/>
      <protection locked="0"/>
    </xf>
    <xf numFmtId="43" fontId="17" fillId="4" borderId="11" xfId="1" applyFont="1" applyFill="1" applyBorder="1" applyAlignment="1" applyProtection="1">
      <alignment horizontal="center" vertical="top"/>
      <protection locked="0"/>
    </xf>
    <xf numFmtId="9" fontId="17" fillId="4" borderId="11" xfId="1" applyNumberFormat="1" applyFont="1" applyFill="1" applyBorder="1" applyAlignment="1" applyProtection="1">
      <alignment horizontal="center" vertical="top"/>
      <protection locked="0"/>
    </xf>
    <xf numFmtId="14" fontId="17" fillId="9" borderId="11" xfId="0" applyNumberFormat="1" applyFont="1" applyFill="1" applyBorder="1" applyAlignment="1" applyProtection="1">
      <alignment horizontal="left" vertical="top"/>
      <protection locked="0"/>
    </xf>
    <xf numFmtId="167" fontId="0" fillId="13" borderId="2" xfId="0" applyNumberFormat="1" applyFill="1" applyBorder="1" applyAlignment="1">
      <alignment horizontal="center" vertical="center"/>
    </xf>
    <xf numFmtId="43" fontId="11" fillId="0" borderId="2" xfId="0" applyNumberFormat="1" applyFont="1" applyBorder="1" applyAlignment="1">
      <alignment vertical="center"/>
    </xf>
    <xf numFmtId="167" fontId="0" fillId="7" borderId="2" xfId="0" applyNumberFormat="1" applyFill="1" applyBorder="1" applyAlignment="1">
      <alignment horizontal="center" vertical="center"/>
    </xf>
    <xf numFmtId="43" fontId="11" fillId="7" borderId="2" xfId="0" applyNumberFormat="1" applyFont="1" applyFill="1" applyBorder="1" applyAlignment="1">
      <alignment horizontal="left" vertical="top"/>
    </xf>
    <xf numFmtId="0" fontId="17" fillId="14" borderId="11" xfId="0" applyFont="1" applyFill="1" applyBorder="1" applyAlignment="1" applyProtection="1">
      <alignment horizontal="left" vertical="top"/>
      <protection locked="0"/>
    </xf>
    <xf numFmtId="165" fontId="17" fillId="14" borderId="11" xfId="0" applyNumberFormat="1" applyFont="1" applyFill="1" applyBorder="1" applyAlignment="1" applyProtection="1">
      <alignment horizontal="left" vertical="top"/>
      <protection locked="0"/>
    </xf>
    <xf numFmtId="0" fontId="17" fillId="14" borderId="11" xfId="0" applyFont="1" applyFill="1" applyBorder="1" applyAlignment="1" applyProtection="1">
      <alignment horizontal="left" vertical="top" wrapText="1"/>
      <protection locked="0"/>
    </xf>
    <xf numFmtId="6" fontId="17" fillId="14" borderId="11" xfId="1" applyNumberFormat="1" applyFont="1" applyFill="1" applyBorder="1" applyAlignment="1" applyProtection="1">
      <alignment vertical="top"/>
      <protection locked="0"/>
    </xf>
    <xf numFmtId="6" fontId="17" fillId="14" borderId="11" xfId="1" applyNumberFormat="1" applyFont="1" applyFill="1" applyBorder="1" applyAlignment="1" applyProtection="1">
      <alignment horizontal="center" vertical="top"/>
      <protection locked="0"/>
    </xf>
    <xf numFmtId="9" fontId="17" fillId="14" borderId="11" xfId="1" applyNumberFormat="1" applyFont="1" applyFill="1" applyBorder="1" applyAlignment="1" applyProtection="1">
      <alignment horizontal="left" vertical="top"/>
      <protection locked="0"/>
    </xf>
    <xf numFmtId="9" fontId="17" fillId="14" borderId="11" xfId="3" applyFont="1" applyFill="1" applyBorder="1" applyAlignment="1" applyProtection="1">
      <alignment horizontal="center" vertical="top"/>
      <protection locked="0"/>
    </xf>
    <xf numFmtId="8" fontId="17" fillId="14" borderId="11" xfId="0" applyNumberFormat="1" applyFont="1" applyFill="1" applyBorder="1" applyAlignment="1" applyProtection="1">
      <alignment horizontal="left" vertical="top"/>
      <protection locked="0"/>
    </xf>
    <xf numFmtId="8" fontId="17" fillId="14" borderId="11" xfId="0" applyNumberFormat="1" applyFont="1" applyFill="1" applyBorder="1" applyAlignment="1" applyProtection="1">
      <alignment horizontal="left" vertical="top" wrapText="1"/>
      <protection locked="0"/>
    </xf>
    <xf numFmtId="8" fontId="17" fillId="14" borderId="2" xfId="0" applyNumberFormat="1" applyFont="1" applyFill="1" applyBorder="1" applyAlignment="1" applyProtection="1">
      <alignment horizontal="left" vertical="top" wrapText="1"/>
      <protection locked="0"/>
    </xf>
    <xf numFmtId="8" fontId="17" fillId="14" borderId="2" xfId="0" applyNumberFormat="1" applyFont="1" applyFill="1" applyBorder="1" applyAlignment="1" applyProtection="1">
      <alignment horizontal="left" vertical="top"/>
      <protection locked="0"/>
    </xf>
    <xf numFmtId="167" fontId="0" fillId="14" borderId="2" xfId="0" applyNumberFormat="1" applyFill="1" applyBorder="1" applyAlignment="1">
      <alignment horizontal="center" vertical="center"/>
    </xf>
    <xf numFmtId="43" fontId="0" fillId="14" borderId="2" xfId="0" applyNumberFormat="1" applyFill="1" applyBorder="1"/>
    <xf numFmtId="0" fontId="0" fillId="14" borderId="2" xfId="0" applyFill="1" applyBorder="1"/>
    <xf numFmtId="0" fontId="0" fillId="14" borderId="0" xfId="0" applyFill="1"/>
    <xf numFmtId="2" fontId="17" fillId="14" borderId="11" xfId="0" applyNumberFormat="1" applyFont="1" applyFill="1" applyBorder="1" applyAlignment="1" applyProtection="1">
      <alignment horizontal="left" vertical="top"/>
      <protection locked="0"/>
    </xf>
    <xf numFmtId="0" fontId="18" fillId="14" borderId="0" xfId="0" applyFont="1" applyFill="1" applyAlignment="1">
      <alignment horizontal="left" vertical="top" wrapText="1"/>
    </xf>
    <xf numFmtId="43" fontId="17" fillId="14" borderId="11" xfId="1" applyFont="1" applyFill="1" applyBorder="1" applyAlignment="1" applyProtection="1">
      <alignment vertical="top"/>
      <protection locked="0"/>
    </xf>
    <xf numFmtId="43" fontId="17" fillId="14" borderId="11" xfId="1" applyFont="1" applyFill="1" applyBorder="1" applyAlignment="1" applyProtection="1">
      <alignment horizontal="center" vertical="top"/>
      <protection locked="0"/>
    </xf>
    <xf numFmtId="10" fontId="17" fillId="14" borderId="11" xfId="3" applyNumberFormat="1" applyFont="1" applyFill="1" applyBorder="1" applyAlignment="1" applyProtection="1">
      <alignment horizontal="center" vertical="top"/>
      <protection locked="0"/>
    </xf>
    <xf numFmtId="10" fontId="17" fillId="4" borderId="11" xfId="3" applyNumberFormat="1" applyFont="1" applyFill="1" applyBorder="1" applyAlignment="1" applyProtection="1">
      <alignment horizontal="center" vertical="top"/>
      <protection locked="0"/>
    </xf>
    <xf numFmtId="14" fontId="17" fillId="3" borderId="11" xfId="0" applyNumberFormat="1" applyFont="1" applyFill="1" applyBorder="1" applyAlignment="1" applyProtection="1">
      <alignment horizontal="left" vertical="top"/>
      <protection locked="0"/>
    </xf>
    <xf numFmtId="43" fontId="17" fillId="14" borderId="11" xfId="1" applyFont="1" applyFill="1" applyBorder="1" applyAlignment="1" applyProtection="1">
      <alignment horizontal="left" vertical="top"/>
      <protection locked="0"/>
    </xf>
    <xf numFmtId="0" fontId="11" fillId="0" borderId="0" xfId="0" applyFont="1" applyAlignment="1">
      <alignment horizontal="center" vertical="center"/>
    </xf>
    <xf numFmtId="171" fontId="0" fillId="0" borderId="0" xfId="0" applyNumberFormat="1"/>
    <xf numFmtId="9" fontId="17" fillId="9" borderId="11" xfId="3" applyFont="1" applyFill="1" applyBorder="1" applyAlignment="1" applyProtection="1">
      <alignment horizontal="left" vertical="top"/>
      <protection locked="0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18" fillId="9" borderId="2" xfId="0" applyFont="1" applyFill="1" applyBorder="1" applyAlignment="1">
      <alignment horizontal="left" vertical="top" wrapText="1"/>
    </xf>
    <xf numFmtId="43" fontId="0" fillId="0" borderId="2" xfId="0" applyNumberFormat="1" applyBorder="1" applyAlignment="1">
      <alignment vertical="top" wrapText="1"/>
    </xf>
    <xf numFmtId="171" fontId="0" fillId="4" borderId="0" xfId="0" applyNumberFormat="1" applyFill="1"/>
    <xf numFmtId="0" fontId="16" fillId="13" borderId="2" xfId="0" applyFont="1" applyFill="1" applyBorder="1" applyAlignment="1">
      <alignment horizontal="center" vertical="center" wrapText="1"/>
    </xf>
    <xf numFmtId="167" fontId="16" fillId="15" borderId="2" xfId="0" applyNumberFormat="1" applyFont="1" applyFill="1" applyBorder="1" applyAlignment="1">
      <alignment horizontal="center" vertical="center" wrapText="1"/>
    </xf>
    <xf numFmtId="0" fontId="17" fillId="16" borderId="11" xfId="0" applyFont="1" applyFill="1" applyBorder="1" applyAlignment="1" applyProtection="1">
      <alignment horizontal="left" vertical="top"/>
      <protection locked="0"/>
    </xf>
    <xf numFmtId="43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7" fontId="0" fillId="0" borderId="2" xfId="0" applyNumberFormat="1" applyBorder="1" applyAlignment="1">
      <alignment horizontal="left" vertical="top"/>
    </xf>
    <xf numFmtId="43" fontId="0" fillId="0" borderId="2" xfId="0" quotePrefix="1" applyNumberFormat="1" applyBorder="1" applyAlignment="1">
      <alignment horizontal="left" vertical="top"/>
    </xf>
    <xf numFmtId="0" fontId="0" fillId="0" borderId="2" xfId="0" quotePrefix="1" applyBorder="1" applyAlignment="1">
      <alignment horizontal="left" vertical="top"/>
    </xf>
    <xf numFmtId="43" fontId="0" fillId="0" borderId="2" xfId="0" applyNumberFormat="1" applyBorder="1" applyAlignment="1">
      <alignment horizontal="center" vertical="center"/>
    </xf>
    <xf numFmtId="0" fontId="17" fillId="16" borderId="2" xfId="0" applyFont="1" applyFill="1" applyBorder="1" applyAlignment="1" applyProtection="1">
      <alignment horizontal="left" vertical="top"/>
      <protection locked="0"/>
    </xf>
    <xf numFmtId="165" fontId="17" fillId="9" borderId="2" xfId="3" applyNumberFormat="1" applyFont="1" applyFill="1" applyBorder="1" applyAlignment="1" applyProtection="1">
      <alignment horizontal="left" vertical="top"/>
      <protection locked="0"/>
    </xf>
    <xf numFmtId="167" fontId="0" fillId="0" borderId="2" xfId="0" applyNumberFormat="1" applyBorder="1" applyAlignment="1">
      <alignment horizontal="left" vertical="top" wrapText="1"/>
    </xf>
    <xf numFmtId="0" fontId="17" fillId="9" borderId="2" xfId="0" applyFont="1" applyFill="1" applyBorder="1" applyAlignment="1" applyProtection="1">
      <alignment vertical="top"/>
      <protection locked="0"/>
    </xf>
    <xf numFmtId="0" fontId="17" fillId="8" borderId="11" xfId="0" applyFont="1" applyFill="1" applyBorder="1" applyAlignment="1" applyProtection="1">
      <alignment horizontal="left" vertical="top"/>
      <protection locked="0"/>
    </xf>
    <xf numFmtId="165" fontId="17" fillId="8" borderId="2" xfId="3" applyNumberFormat="1" applyFont="1" applyFill="1" applyBorder="1" applyAlignment="1" applyProtection="1">
      <alignment horizontal="left" vertical="top"/>
      <protection locked="0"/>
    </xf>
    <xf numFmtId="165" fontId="17" fillId="8" borderId="2" xfId="0" applyNumberFormat="1" applyFont="1" applyFill="1" applyBorder="1" applyAlignment="1" applyProtection="1">
      <alignment horizontal="left" vertical="top"/>
      <protection locked="0"/>
    </xf>
    <xf numFmtId="0" fontId="17" fillId="8" borderId="2" xfId="0" applyFont="1" applyFill="1" applyBorder="1" applyAlignment="1" applyProtection="1">
      <alignment horizontal="left" vertical="top"/>
      <protection locked="0"/>
    </xf>
    <xf numFmtId="43" fontId="17" fillId="8" borderId="2" xfId="1" applyFont="1" applyFill="1" applyBorder="1" applyAlignment="1" applyProtection="1">
      <alignment vertical="top"/>
      <protection locked="0"/>
    </xf>
    <xf numFmtId="43" fontId="17" fillId="8" borderId="11" xfId="1" applyFont="1" applyFill="1" applyBorder="1" applyAlignment="1" applyProtection="1">
      <alignment horizontal="center" vertical="top"/>
      <protection locked="0"/>
    </xf>
    <xf numFmtId="9" fontId="17" fillId="8" borderId="11" xfId="3" applyFont="1" applyFill="1" applyBorder="1" applyAlignment="1" applyProtection="1">
      <alignment horizontal="left" vertical="top"/>
      <protection locked="0"/>
    </xf>
    <xf numFmtId="10" fontId="17" fillId="8" borderId="2" xfId="3" applyNumberFormat="1" applyFont="1" applyFill="1" applyBorder="1" applyAlignment="1" applyProtection="1">
      <alignment horizontal="center" vertical="top"/>
      <protection locked="0"/>
    </xf>
    <xf numFmtId="8" fontId="17" fillId="8" borderId="11" xfId="0" applyNumberFormat="1" applyFont="1" applyFill="1" applyBorder="1" applyAlignment="1" applyProtection="1">
      <alignment horizontal="left" vertical="top"/>
      <protection locked="0"/>
    </xf>
    <xf numFmtId="8" fontId="17" fillId="8" borderId="11" xfId="0" applyNumberFormat="1" applyFont="1" applyFill="1" applyBorder="1" applyAlignment="1" applyProtection="1">
      <alignment horizontal="left" vertical="top" wrapText="1"/>
      <protection locked="0"/>
    </xf>
    <xf numFmtId="8" fontId="17" fillId="8" borderId="2" xfId="0" applyNumberFormat="1" applyFont="1" applyFill="1" applyBorder="1" applyAlignment="1" applyProtection="1">
      <alignment horizontal="left" vertical="top"/>
      <protection locked="0"/>
    </xf>
    <xf numFmtId="0" fontId="19" fillId="0" borderId="0" xfId="0" applyFont="1"/>
    <xf numFmtId="0" fontId="17" fillId="17" borderId="11" xfId="0" applyFont="1" applyFill="1" applyBorder="1" applyAlignment="1" applyProtection="1">
      <alignment horizontal="left" vertical="top"/>
      <protection locked="0"/>
    </xf>
    <xf numFmtId="0" fontId="17" fillId="17" borderId="2" xfId="0" applyFont="1" applyFill="1" applyBorder="1" applyAlignment="1" applyProtection="1">
      <alignment horizontal="left" vertical="top"/>
      <protection locked="0"/>
    </xf>
    <xf numFmtId="165" fontId="17" fillId="17" borderId="2" xfId="3" applyNumberFormat="1" applyFont="1" applyFill="1" applyBorder="1" applyAlignment="1" applyProtection="1">
      <alignment horizontal="left" vertical="top"/>
      <protection locked="0"/>
    </xf>
    <xf numFmtId="165" fontId="17" fillId="17" borderId="2" xfId="0" applyNumberFormat="1" applyFont="1" applyFill="1" applyBorder="1" applyAlignment="1" applyProtection="1">
      <alignment horizontal="left" vertical="top"/>
      <protection locked="0"/>
    </xf>
    <xf numFmtId="0" fontId="17" fillId="17" borderId="2" xfId="0" applyFont="1" applyFill="1" applyBorder="1" applyAlignment="1" applyProtection="1">
      <alignment horizontal="left" vertical="top" wrapText="1"/>
      <protection locked="0"/>
    </xf>
    <xf numFmtId="43" fontId="17" fillId="17" borderId="2" xfId="1" applyFont="1" applyFill="1" applyBorder="1" applyAlignment="1" applyProtection="1">
      <alignment vertical="top"/>
      <protection locked="0"/>
    </xf>
    <xf numFmtId="43" fontId="17" fillId="17" borderId="2" xfId="1" applyFont="1" applyFill="1" applyBorder="1" applyAlignment="1" applyProtection="1">
      <alignment horizontal="center" vertical="top"/>
      <protection locked="0"/>
    </xf>
    <xf numFmtId="9" fontId="17" fillId="17" borderId="11" xfId="3" applyFont="1" applyFill="1" applyBorder="1" applyAlignment="1" applyProtection="1">
      <alignment horizontal="left" vertical="top"/>
      <protection locked="0"/>
    </xf>
    <xf numFmtId="10" fontId="17" fillId="17" borderId="2" xfId="3" applyNumberFormat="1" applyFont="1" applyFill="1" applyBorder="1" applyAlignment="1" applyProtection="1">
      <alignment horizontal="center" vertical="top"/>
      <protection locked="0"/>
    </xf>
    <xf numFmtId="8" fontId="17" fillId="17" borderId="11" xfId="0" applyNumberFormat="1" applyFont="1" applyFill="1" applyBorder="1" applyAlignment="1" applyProtection="1">
      <alignment horizontal="left" vertical="top"/>
      <protection locked="0"/>
    </xf>
    <xf numFmtId="8" fontId="17" fillId="17" borderId="11" xfId="0" applyNumberFormat="1" applyFont="1" applyFill="1" applyBorder="1" applyAlignment="1" applyProtection="1">
      <alignment horizontal="left" vertical="top" wrapText="1"/>
      <protection locked="0"/>
    </xf>
    <xf numFmtId="8" fontId="17" fillId="17" borderId="2" xfId="0" applyNumberFormat="1" applyFont="1" applyFill="1" applyBorder="1" applyAlignment="1" applyProtection="1">
      <alignment horizontal="left" vertical="top"/>
      <protection locked="0"/>
    </xf>
    <xf numFmtId="167" fontId="0" fillId="17" borderId="2" xfId="0" applyNumberFormat="1" applyFill="1" applyBorder="1" applyAlignment="1">
      <alignment horizontal="center" vertical="center"/>
    </xf>
    <xf numFmtId="0" fontId="19" fillId="17" borderId="0" xfId="0" applyFont="1" applyFill="1"/>
    <xf numFmtId="0" fontId="0" fillId="17" borderId="2" xfId="0" applyFill="1" applyBorder="1" applyAlignment="1">
      <alignment horizontal="center" vertical="center" wrapText="1"/>
    </xf>
    <xf numFmtId="0" fontId="17" fillId="8" borderId="2" xfId="0" applyFont="1" applyFill="1" applyBorder="1" applyAlignment="1" applyProtection="1">
      <alignment horizontal="left" vertical="top" wrapText="1"/>
      <protection locked="0"/>
    </xf>
    <xf numFmtId="43" fontId="17" fillId="8" borderId="2" xfId="1" applyFont="1" applyFill="1" applyBorder="1" applyAlignment="1" applyProtection="1">
      <alignment horizontal="center" vertical="top"/>
      <protection locked="0"/>
    </xf>
    <xf numFmtId="0" fontId="0" fillId="0" borderId="2" xfId="0" applyBorder="1" applyAlignment="1">
      <alignment horizontal="center" vertical="center" wrapText="1"/>
    </xf>
    <xf numFmtId="0" fontId="17" fillId="4" borderId="11" xfId="0" applyFont="1" applyFill="1" applyBorder="1" applyAlignment="1" applyProtection="1">
      <alignment horizontal="left" vertical="top"/>
      <protection locked="0"/>
    </xf>
    <xf numFmtId="0" fontId="17" fillId="4" borderId="2" xfId="0" applyFont="1" applyFill="1" applyBorder="1" applyAlignment="1" applyProtection="1">
      <alignment horizontal="left" vertical="top"/>
      <protection locked="0"/>
    </xf>
    <xf numFmtId="2" fontId="17" fillId="4" borderId="2" xfId="0" applyNumberFormat="1" applyFont="1" applyFill="1" applyBorder="1" applyAlignment="1" applyProtection="1">
      <alignment horizontal="left" vertical="top"/>
      <protection locked="0"/>
    </xf>
    <xf numFmtId="165" fontId="17" fillId="4" borderId="2" xfId="0" applyNumberFormat="1" applyFont="1" applyFill="1" applyBorder="1" applyAlignment="1" applyProtection="1">
      <alignment horizontal="left" vertical="top"/>
      <protection locked="0"/>
    </xf>
    <xf numFmtId="0" fontId="17" fillId="4" borderId="2" xfId="0" applyFont="1" applyFill="1" applyBorder="1" applyAlignment="1" applyProtection="1">
      <alignment horizontal="left" vertical="top" wrapText="1"/>
      <protection locked="0"/>
    </xf>
    <xf numFmtId="43" fontId="17" fillId="4" borderId="2" xfId="1" applyFont="1" applyFill="1" applyBorder="1" applyAlignment="1" applyProtection="1">
      <alignment horizontal="center" vertical="top"/>
      <protection locked="0"/>
    </xf>
    <xf numFmtId="9" fontId="17" fillId="4" borderId="11" xfId="3" applyFont="1" applyFill="1" applyBorder="1" applyAlignment="1" applyProtection="1">
      <alignment horizontal="left" vertical="top"/>
      <protection locked="0"/>
    </xf>
    <xf numFmtId="10" fontId="17" fillId="4" borderId="2" xfId="3" applyNumberFormat="1" applyFont="1" applyFill="1" applyBorder="1" applyAlignment="1" applyProtection="1">
      <alignment horizontal="center" vertical="top"/>
      <protection locked="0"/>
    </xf>
    <xf numFmtId="8" fontId="17" fillId="4" borderId="11" xfId="0" applyNumberFormat="1" applyFont="1" applyFill="1" applyBorder="1" applyAlignment="1" applyProtection="1">
      <alignment horizontal="left" vertical="top"/>
      <protection locked="0"/>
    </xf>
    <xf numFmtId="8" fontId="17" fillId="4" borderId="11" xfId="0" applyNumberFormat="1" applyFont="1" applyFill="1" applyBorder="1" applyAlignment="1" applyProtection="1">
      <alignment horizontal="left" vertical="top" wrapText="1"/>
      <protection locked="0"/>
    </xf>
    <xf numFmtId="8" fontId="17" fillId="4" borderId="2" xfId="0" applyNumberFormat="1" applyFont="1" applyFill="1" applyBorder="1" applyAlignment="1" applyProtection="1">
      <alignment horizontal="left" vertical="top"/>
      <protection locked="0"/>
    </xf>
    <xf numFmtId="0" fontId="19" fillId="4" borderId="0" xfId="0" applyFont="1" applyFill="1"/>
    <xf numFmtId="0" fontId="0" fillId="4" borderId="2" xfId="0" applyFill="1" applyBorder="1" applyAlignment="1">
      <alignment horizontal="center" vertical="center"/>
    </xf>
    <xf numFmtId="167" fontId="0" fillId="12" borderId="2" xfId="0" applyNumberFormat="1" applyFill="1" applyBorder="1" applyAlignment="1">
      <alignment horizontal="left" vertical="top"/>
    </xf>
    <xf numFmtId="10" fontId="17" fillId="10" borderId="11" xfId="3" applyNumberFormat="1" applyFont="1" applyFill="1" applyBorder="1" applyAlignment="1" applyProtection="1">
      <alignment horizontal="center" vertical="top"/>
      <protection locked="0"/>
    </xf>
    <xf numFmtId="0" fontId="21" fillId="0" borderId="2" xfId="0" applyFont="1" applyBorder="1" applyAlignment="1">
      <alignment horizontal="center" vertical="center" wrapText="1"/>
    </xf>
    <xf numFmtId="165" fontId="17" fillId="16" borderId="2" xfId="3" applyNumberFormat="1" applyFont="1" applyFill="1" applyBorder="1" applyAlignment="1" applyProtection="1">
      <alignment horizontal="left" vertical="top"/>
      <protection locked="0"/>
    </xf>
    <xf numFmtId="165" fontId="17" fillId="16" borderId="2" xfId="0" applyNumberFormat="1" applyFont="1" applyFill="1" applyBorder="1" applyAlignment="1" applyProtection="1">
      <alignment horizontal="left" vertical="top"/>
      <protection locked="0"/>
    </xf>
    <xf numFmtId="0" fontId="17" fillId="16" borderId="2" xfId="0" applyFont="1" applyFill="1" applyBorder="1" applyAlignment="1" applyProtection="1">
      <alignment wrapText="1"/>
      <protection locked="0"/>
    </xf>
    <xf numFmtId="14" fontId="17" fillId="16" borderId="2" xfId="0" applyNumberFormat="1" applyFont="1" applyFill="1" applyBorder="1" applyProtection="1">
      <protection locked="0"/>
    </xf>
    <xf numFmtId="43" fontId="17" fillId="16" borderId="2" xfId="1" applyFont="1" applyFill="1" applyBorder="1" applyAlignment="1" applyProtection="1">
      <alignment vertical="top"/>
      <protection locked="0"/>
    </xf>
    <xf numFmtId="43" fontId="17" fillId="16" borderId="2" xfId="1" applyFont="1" applyFill="1" applyBorder="1" applyAlignment="1" applyProtection="1">
      <alignment horizontal="center" vertical="top"/>
      <protection locked="0"/>
    </xf>
    <xf numFmtId="9" fontId="17" fillId="16" borderId="11" xfId="3" applyFont="1" applyFill="1" applyBorder="1" applyAlignment="1" applyProtection="1">
      <alignment horizontal="left" vertical="top"/>
      <protection locked="0"/>
    </xf>
    <xf numFmtId="10" fontId="17" fillId="16" borderId="2" xfId="3" applyNumberFormat="1" applyFont="1" applyFill="1" applyBorder="1" applyAlignment="1" applyProtection="1">
      <alignment horizontal="center" vertical="top"/>
      <protection locked="0"/>
    </xf>
    <xf numFmtId="8" fontId="17" fillId="16" borderId="11" xfId="0" applyNumberFormat="1" applyFont="1" applyFill="1" applyBorder="1" applyAlignment="1" applyProtection="1">
      <alignment horizontal="left" vertical="top"/>
      <protection locked="0"/>
    </xf>
    <xf numFmtId="8" fontId="17" fillId="16" borderId="11" xfId="0" applyNumberFormat="1" applyFont="1" applyFill="1" applyBorder="1" applyAlignment="1" applyProtection="1">
      <alignment horizontal="left" vertical="top" wrapText="1"/>
      <protection locked="0"/>
    </xf>
    <xf numFmtId="8" fontId="17" fillId="16" borderId="2" xfId="0" applyNumberFormat="1" applyFont="1" applyFill="1" applyBorder="1" applyAlignment="1" applyProtection="1">
      <alignment horizontal="left" vertical="top"/>
      <protection locked="0"/>
    </xf>
    <xf numFmtId="8" fontId="17" fillId="16" borderId="2" xfId="0" applyNumberFormat="1" applyFont="1" applyFill="1" applyBorder="1" applyAlignment="1" applyProtection="1">
      <alignment wrapText="1"/>
      <protection locked="0"/>
    </xf>
    <xf numFmtId="0" fontId="17" fillId="18" borderId="11" xfId="0" applyFont="1" applyFill="1" applyBorder="1" applyAlignment="1" applyProtection="1">
      <alignment horizontal="left" vertical="top"/>
      <protection locked="0"/>
    </xf>
    <xf numFmtId="0" fontId="17" fillId="18" borderId="2" xfId="0" applyFont="1" applyFill="1" applyBorder="1" applyAlignment="1" applyProtection="1">
      <alignment horizontal="left" vertical="top"/>
      <protection locked="0"/>
    </xf>
    <xf numFmtId="0" fontId="17" fillId="7" borderId="2" xfId="0" applyFont="1" applyFill="1" applyBorder="1" applyAlignment="1" applyProtection="1">
      <alignment horizontal="left" vertical="top"/>
      <protection locked="0"/>
    </xf>
    <xf numFmtId="165" fontId="17" fillId="18" borderId="2" xfId="3" applyNumberFormat="1" applyFont="1" applyFill="1" applyBorder="1" applyAlignment="1" applyProtection="1">
      <alignment horizontal="left" vertical="top"/>
      <protection locked="0"/>
    </xf>
    <xf numFmtId="165" fontId="17" fillId="18" borderId="2" xfId="0" applyNumberFormat="1" applyFont="1" applyFill="1" applyBorder="1" applyAlignment="1" applyProtection="1">
      <alignment horizontal="left" vertical="top"/>
      <protection locked="0"/>
    </xf>
    <xf numFmtId="0" fontId="17" fillId="18" borderId="2" xfId="0" applyFont="1" applyFill="1" applyBorder="1" applyAlignment="1" applyProtection="1">
      <alignment wrapText="1"/>
      <protection locked="0"/>
    </xf>
    <xf numFmtId="0" fontId="17" fillId="18" borderId="2" xfId="0" applyFont="1" applyFill="1" applyBorder="1" applyProtection="1">
      <protection locked="0"/>
    </xf>
    <xf numFmtId="43" fontId="17" fillId="18" borderId="2" xfId="1" applyFont="1" applyFill="1" applyBorder="1" applyAlignment="1" applyProtection="1">
      <alignment vertical="top"/>
      <protection locked="0"/>
    </xf>
    <xf numFmtId="43" fontId="17" fillId="18" borderId="2" xfId="1" applyFont="1" applyFill="1" applyBorder="1" applyAlignment="1" applyProtection="1">
      <alignment horizontal="center" vertical="top"/>
      <protection locked="0"/>
    </xf>
    <xf numFmtId="9" fontId="17" fillId="18" borderId="11" xfId="3" applyFont="1" applyFill="1" applyBorder="1" applyAlignment="1" applyProtection="1">
      <alignment horizontal="left" vertical="top"/>
      <protection locked="0"/>
    </xf>
    <xf numFmtId="10" fontId="17" fillId="18" borderId="2" xfId="3" applyNumberFormat="1" applyFont="1" applyFill="1" applyBorder="1" applyAlignment="1" applyProtection="1">
      <alignment horizontal="center" vertical="top"/>
      <protection locked="0"/>
    </xf>
    <xf numFmtId="8" fontId="17" fillId="18" borderId="11" xfId="0" applyNumberFormat="1" applyFont="1" applyFill="1" applyBorder="1" applyAlignment="1" applyProtection="1">
      <alignment horizontal="left" vertical="top"/>
      <protection locked="0"/>
    </xf>
    <xf numFmtId="8" fontId="17" fillId="18" borderId="11" xfId="0" applyNumberFormat="1" applyFont="1" applyFill="1" applyBorder="1" applyAlignment="1" applyProtection="1">
      <alignment horizontal="left" vertical="top" wrapText="1"/>
      <protection locked="0"/>
    </xf>
    <xf numFmtId="8" fontId="17" fillId="18" borderId="2" xfId="0" applyNumberFormat="1" applyFont="1" applyFill="1" applyBorder="1" applyAlignment="1" applyProtection="1">
      <alignment horizontal="left" vertical="top"/>
      <protection locked="0"/>
    </xf>
    <xf numFmtId="8" fontId="17" fillId="18" borderId="2" xfId="0" applyNumberFormat="1" applyFont="1" applyFill="1" applyBorder="1" applyAlignment="1" applyProtection="1">
      <alignment wrapText="1"/>
      <protection locked="0"/>
    </xf>
    <xf numFmtId="167" fontId="0" fillId="18" borderId="2" xfId="0" applyNumberFormat="1" applyFill="1" applyBorder="1" applyAlignment="1">
      <alignment horizontal="center" vertical="center"/>
    </xf>
    <xf numFmtId="2" fontId="17" fillId="8" borderId="11" xfId="0" applyNumberFormat="1" applyFont="1" applyFill="1" applyBorder="1" applyAlignment="1" applyProtection="1">
      <alignment horizontal="left" vertical="top"/>
      <protection locked="0"/>
    </xf>
    <xf numFmtId="165" fontId="17" fillId="8" borderId="11" xfId="0" applyNumberFormat="1" applyFont="1" applyFill="1" applyBorder="1" applyAlignment="1" applyProtection="1">
      <alignment horizontal="left" vertical="top"/>
      <protection locked="0"/>
    </xf>
    <xf numFmtId="0" fontId="18" fillId="8" borderId="0" xfId="0" applyFont="1" applyFill="1" applyAlignment="1">
      <alignment horizontal="left" vertical="top" wrapText="1"/>
    </xf>
    <xf numFmtId="8" fontId="17" fillId="8" borderId="2" xfId="0" applyNumberFormat="1" applyFont="1" applyFill="1" applyBorder="1" applyAlignment="1" applyProtection="1">
      <alignment horizontal="left" vertical="top" wrapText="1"/>
      <protection locked="0"/>
    </xf>
    <xf numFmtId="0" fontId="18" fillId="8" borderId="2" xfId="0" applyFont="1" applyFill="1" applyBorder="1" applyAlignment="1">
      <alignment horizontal="left" vertical="top" wrapText="1"/>
    </xf>
    <xf numFmtId="167" fontId="11" fillId="0" borderId="0" xfId="0" applyNumberFormat="1" applyFont="1"/>
    <xf numFmtId="167" fontId="0" fillId="4" borderId="0" xfId="0" applyNumberFormat="1" applyFill="1"/>
    <xf numFmtId="167" fontId="11" fillId="4" borderId="2" xfId="0" applyNumberFormat="1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"/>
  <sheetViews>
    <sheetView workbookViewId="0">
      <pane xSplit="2" ySplit="1" topLeftCell="C2" activePane="bottomRight" state="frozen"/>
      <selection pane="bottomRight" activeCell="D8" sqref="D8"/>
      <selection pane="bottomLeft" activeCell="A2" sqref="A2"/>
      <selection pane="topRight" activeCell="C1" sqref="C1"/>
    </sheetView>
  </sheetViews>
  <sheetFormatPr defaultRowHeight="14.1"/>
  <cols>
    <col min="1" max="1" width="15.75" customWidth="1"/>
    <col min="2" max="2" width="19.75" customWidth="1"/>
    <col min="3" max="3" width="9" customWidth="1"/>
    <col min="4" max="4" width="11.625" style="17" customWidth="1"/>
    <col min="5" max="5" width="12.5" style="17" customWidth="1"/>
    <col min="6" max="6" width="11.625" style="17" customWidth="1"/>
    <col min="7" max="7" width="10.25" style="17" customWidth="1"/>
    <col min="8" max="8" width="11.5" style="17" bestFit="1" customWidth="1"/>
    <col min="9" max="9" width="10.25" customWidth="1"/>
    <col min="10" max="10" width="13.375" style="10" customWidth="1"/>
    <col min="11" max="11" width="17.25" style="13" customWidth="1"/>
    <col min="12" max="12" width="9.75" customWidth="1"/>
    <col min="13" max="13" width="13.625" customWidth="1"/>
    <col min="14" max="14" width="26.25" customWidth="1"/>
    <col min="15" max="15" width="19" customWidth="1"/>
    <col min="16" max="16" width="18.375" customWidth="1"/>
    <col min="17" max="17" width="26.25" style="10" customWidth="1"/>
    <col min="18" max="18" width="22.5" customWidth="1"/>
  </cols>
  <sheetData>
    <row r="1" spans="1:25" s="9" customFormat="1" ht="112.5" customHeight="1">
      <c r="A1" s="1" t="s">
        <v>0</v>
      </c>
      <c r="B1" s="2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30" t="s">
        <v>11</v>
      </c>
      <c r="M1" s="4" t="s">
        <v>12</v>
      </c>
      <c r="N1" s="2" t="s">
        <v>13</v>
      </c>
      <c r="O1" s="6" t="s">
        <v>14</v>
      </c>
      <c r="P1" s="6" t="s">
        <v>15</v>
      </c>
      <c r="Q1" s="4" t="s">
        <v>16</v>
      </c>
      <c r="R1" s="4" t="s">
        <v>17</v>
      </c>
    </row>
    <row r="2" spans="1:25" ht="58.5" customHeight="1">
      <c r="A2" s="37" t="s">
        <v>18</v>
      </c>
      <c r="B2" s="37" t="s">
        <v>19</v>
      </c>
      <c r="C2" s="37" t="s">
        <v>20</v>
      </c>
      <c r="D2" s="38">
        <v>159000</v>
      </c>
      <c r="E2" s="39">
        <v>75000</v>
      </c>
      <c r="F2" s="39">
        <f>((D2*0.75-E2)/12*8)/2</f>
        <v>14750</v>
      </c>
      <c r="G2" s="39">
        <f>F2*0.288</f>
        <v>4248</v>
      </c>
      <c r="H2" s="39">
        <f t="shared" ref="H2:H7" si="0">F2+G2</f>
        <v>18998</v>
      </c>
      <c r="I2" s="40" t="s">
        <v>21</v>
      </c>
      <c r="J2" s="37" t="s">
        <v>22</v>
      </c>
      <c r="K2" s="38"/>
      <c r="L2" s="40" t="s">
        <v>23</v>
      </c>
      <c r="M2" s="40" t="s">
        <v>23</v>
      </c>
      <c r="N2" s="40"/>
      <c r="O2" s="37" t="s">
        <v>21</v>
      </c>
      <c r="P2" s="40"/>
      <c r="Q2" s="37" t="s">
        <v>24</v>
      </c>
      <c r="R2" s="41" t="s">
        <v>25</v>
      </c>
    </row>
    <row r="3" spans="1:25" ht="56.1">
      <c r="A3" s="37" t="s">
        <v>18</v>
      </c>
      <c r="B3" s="37" t="s">
        <v>26</v>
      </c>
      <c r="C3" s="37" t="s">
        <v>27</v>
      </c>
      <c r="D3" s="39">
        <v>102000</v>
      </c>
      <c r="E3" s="39">
        <f>D3*0.55</f>
        <v>56100.000000000007</v>
      </c>
      <c r="F3" s="39">
        <f>(D3*0.75-E3)/2</f>
        <v>10199.999999999996</v>
      </c>
      <c r="G3" s="39">
        <f>F3*0.288</f>
        <v>2937.5999999999985</v>
      </c>
      <c r="H3" s="39">
        <f t="shared" si="0"/>
        <v>13137.599999999995</v>
      </c>
      <c r="I3" s="40" t="s">
        <v>21</v>
      </c>
      <c r="J3" s="37" t="s">
        <v>28</v>
      </c>
      <c r="K3" s="38"/>
      <c r="L3" s="37" t="s">
        <v>29</v>
      </c>
      <c r="M3" s="40" t="s">
        <v>23</v>
      </c>
      <c r="N3" s="40"/>
      <c r="O3" s="37" t="s">
        <v>30</v>
      </c>
      <c r="P3" s="40"/>
      <c r="Q3" s="37"/>
      <c r="R3" t="s">
        <v>31</v>
      </c>
    </row>
    <row r="4" spans="1:25" s="42" customFormat="1" ht="27.95">
      <c r="A4" s="37" t="s">
        <v>32</v>
      </c>
      <c r="B4" s="37" t="s">
        <v>33</v>
      </c>
      <c r="C4" s="37" t="s">
        <v>34</v>
      </c>
      <c r="D4" s="39">
        <v>190000</v>
      </c>
      <c r="E4" s="39">
        <v>75000</v>
      </c>
      <c r="F4" s="39">
        <f>(D4*0.75-E4)/2</f>
        <v>33750</v>
      </c>
      <c r="G4" s="39">
        <f>F4*0.288</f>
        <v>9720</v>
      </c>
      <c r="H4" s="39">
        <f t="shared" si="0"/>
        <v>43470</v>
      </c>
      <c r="I4" s="37" t="s">
        <v>21</v>
      </c>
      <c r="J4" s="37"/>
      <c r="K4" s="38"/>
      <c r="L4" s="40" t="s">
        <v>23</v>
      </c>
      <c r="M4" s="40" t="s">
        <v>23</v>
      </c>
      <c r="N4" s="40"/>
      <c r="O4" s="37" t="s">
        <v>35</v>
      </c>
      <c r="P4" s="40"/>
      <c r="Q4" s="37"/>
      <c r="R4" s="42" t="s">
        <v>36</v>
      </c>
    </row>
    <row r="5" spans="1:25" s="42" customFormat="1" ht="59.25" customHeight="1">
      <c r="A5" s="37" t="s">
        <v>32</v>
      </c>
      <c r="B5" s="37" t="s">
        <v>37</v>
      </c>
      <c r="C5" s="37" t="s">
        <v>34</v>
      </c>
      <c r="D5" s="39">
        <v>185000</v>
      </c>
      <c r="E5" s="39">
        <v>50000</v>
      </c>
      <c r="F5" s="39">
        <f>(D5*0.75-E5)/2</f>
        <v>44375</v>
      </c>
      <c r="G5" s="39">
        <f>F5*0.298</f>
        <v>13223.75</v>
      </c>
      <c r="H5" s="39">
        <f t="shared" si="0"/>
        <v>57598.75</v>
      </c>
      <c r="I5" s="37" t="s">
        <v>21</v>
      </c>
      <c r="J5" s="37"/>
      <c r="K5" s="38"/>
      <c r="L5" s="40" t="s">
        <v>38</v>
      </c>
      <c r="M5" s="40" t="s">
        <v>38</v>
      </c>
      <c r="N5" s="40"/>
      <c r="O5" s="37" t="s">
        <v>20</v>
      </c>
      <c r="P5" s="40"/>
      <c r="Q5" s="37"/>
      <c r="R5" s="42" t="s">
        <v>39</v>
      </c>
    </row>
    <row r="6" spans="1:25" ht="111.95">
      <c r="A6" s="37" t="s">
        <v>40</v>
      </c>
      <c r="B6" s="37" t="s">
        <v>41</v>
      </c>
      <c r="C6" s="37" t="s">
        <v>42</v>
      </c>
      <c r="D6" s="39">
        <v>82200</v>
      </c>
      <c r="E6" s="39">
        <v>75000</v>
      </c>
      <c r="F6" s="39">
        <f>(D6-E6)/2</f>
        <v>3600</v>
      </c>
      <c r="G6" s="39">
        <f>F6*0.288</f>
        <v>1036.8</v>
      </c>
      <c r="H6" s="39">
        <f t="shared" si="0"/>
        <v>4636.8</v>
      </c>
      <c r="I6" s="40" t="s">
        <v>38</v>
      </c>
      <c r="J6" s="37" t="s">
        <v>43</v>
      </c>
      <c r="K6" s="38" t="s">
        <v>44</v>
      </c>
      <c r="L6" s="40" t="s">
        <v>20</v>
      </c>
      <c r="M6" s="40" t="s">
        <v>20</v>
      </c>
      <c r="N6" s="37" t="s">
        <v>45</v>
      </c>
      <c r="O6" s="43">
        <v>50202748</v>
      </c>
      <c r="P6" s="40"/>
      <c r="Q6" s="37"/>
      <c r="R6" s="42" t="s">
        <v>46</v>
      </c>
    </row>
    <row r="7" spans="1:25" ht="84">
      <c r="A7" s="37" t="s">
        <v>40</v>
      </c>
      <c r="B7" s="37" t="s">
        <v>47</v>
      </c>
      <c r="C7" s="37" t="s">
        <v>48</v>
      </c>
      <c r="D7" s="39">
        <v>192909</v>
      </c>
      <c r="E7" s="39">
        <v>75000</v>
      </c>
      <c r="F7" s="39">
        <f>(D7*0.75-E7)/2</f>
        <v>34840.875</v>
      </c>
      <c r="G7" s="39">
        <f>F7*0.288</f>
        <v>10034.171999999999</v>
      </c>
      <c r="H7" s="39">
        <f t="shared" si="0"/>
        <v>44875.046999999999</v>
      </c>
      <c r="I7" s="40" t="s">
        <v>23</v>
      </c>
      <c r="J7" s="37" t="s">
        <v>49</v>
      </c>
      <c r="K7" s="38" t="s">
        <v>50</v>
      </c>
      <c r="L7" s="40" t="s">
        <v>23</v>
      </c>
      <c r="M7" s="40" t="s">
        <v>23</v>
      </c>
      <c r="N7" s="37" t="s">
        <v>51</v>
      </c>
      <c r="O7" s="37" t="s">
        <v>52</v>
      </c>
      <c r="P7" s="37" t="s">
        <v>53</v>
      </c>
      <c r="Q7" s="37"/>
      <c r="R7" s="42" t="s">
        <v>54</v>
      </c>
    </row>
    <row r="8" spans="1:25" ht="27.75" customHeight="1">
      <c r="A8" s="44"/>
      <c r="B8" s="44"/>
      <c r="C8" s="44"/>
      <c r="D8" s="45"/>
      <c r="E8" s="46"/>
      <c r="F8" s="46"/>
      <c r="G8" s="47" t="s">
        <v>55</v>
      </c>
      <c r="H8" s="48">
        <f>SUM(H2:H7)</f>
        <v>182716.19699999996</v>
      </c>
      <c r="I8" s="49"/>
      <c r="J8" s="44"/>
      <c r="K8" s="45"/>
      <c r="L8" s="49"/>
      <c r="M8" s="49"/>
      <c r="N8" s="49"/>
      <c r="O8" s="44"/>
      <c r="P8" s="49"/>
      <c r="Q8" s="44"/>
    </row>
    <row r="9" spans="1:25" s="55" customFormat="1" ht="27.95">
      <c r="A9" s="50" t="s">
        <v>56</v>
      </c>
      <c r="B9" s="50" t="s">
        <v>57</v>
      </c>
      <c r="C9" s="50" t="s">
        <v>58</v>
      </c>
      <c r="D9" s="51">
        <v>179000</v>
      </c>
      <c r="E9" s="51">
        <v>90000</v>
      </c>
      <c r="F9" s="51">
        <f>(D9*0.75-E9)/2</f>
        <v>22125</v>
      </c>
      <c r="G9" s="51">
        <f>F9*0.288</f>
        <v>6371.9999999999991</v>
      </c>
      <c r="H9" s="51">
        <f>F9+G9</f>
        <v>28497</v>
      </c>
      <c r="I9" s="52" t="s">
        <v>21</v>
      </c>
      <c r="J9" s="50"/>
      <c r="K9" s="53"/>
      <c r="L9" s="54"/>
      <c r="M9" s="54"/>
      <c r="N9" s="54"/>
      <c r="O9" s="50" t="s">
        <v>59</v>
      </c>
      <c r="P9" s="50" t="s">
        <v>60</v>
      </c>
      <c r="Q9" s="50" t="s">
        <v>61</v>
      </c>
    </row>
    <row r="10" spans="1:25" s="55" customFormat="1" ht="98.1">
      <c r="A10" s="50" t="s">
        <v>62</v>
      </c>
      <c r="B10" s="50" t="s">
        <v>63</v>
      </c>
      <c r="C10" s="50" t="s">
        <v>64</v>
      </c>
      <c r="D10" s="51">
        <v>166148</v>
      </c>
      <c r="E10" s="51">
        <v>90000</v>
      </c>
      <c r="F10" s="51">
        <f>(D10*0.75-E10)/2</f>
        <v>17305.5</v>
      </c>
      <c r="G10" s="51">
        <f>F10*0.288</f>
        <v>4983.9839999999995</v>
      </c>
      <c r="H10" s="51">
        <f>F10+G10</f>
        <v>22289.484</v>
      </c>
      <c r="I10" s="54" t="s">
        <v>23</v>
      </c>
      <c r="J10" s="50" t="s">
        <v>65</v>
      </c>
      <c r="K10" s="53" t="s">
        <v>66</v>
      </c>
      <c r="L10" s="54" t="s">
        <v>23</v>
      </c>
      <c r="M10" s="54" t="s">
        <v>23</v>
      </c>
      <c r="N10" s="50" t="s">
        <v>67</v>
      </c>
      <c r="O10" s="50" t="s">
        <v>68</v>
      </c>
      <c r="P10" s="54"/>
      <c r="Q10" s="50"/>
    </row>
    <row r="11" spans="1:25" s="55" customFormat="1" ht="42">
      <c r="A11" s="50" t="s">
        <v>62</v>
      </c>
      <c r="B11" s="50" t="s">
        <v>69</v>
      </c>
      <c r="C11" s="50" t="s">
        <v>70</v>
      </c>
      <c r="D11" s="51">
        <f>170000*1.03</f>
        <v>175100</v>
      </c>
      <c r="E11" s="51">
        <v>90000</v>
      </c>
      <c r="F11" s="51">
        <f>(D11*0.75-E11)/2</f>
        <v>20662.5</v>
      </c>
      <c r="G11" s="51">
        <f>F11*0.288</f>
        <v>5950.7999999999993</v>
      </c>
      <c r="H11" s="51">
        <f>F11+G11</f>
        <v>26613.3</v>
      </c>
      <c r="I11" s="54" t="s">
        <v>23</v>
      </c>
      <c r="J11" s="50" t="s">
        <v>43</v>
      </c>
      <c r="K11" s="53" t="s">
        <v>71</v>
      </c>
      <c r="L11" s="54" t="s">
        <v>23</v>
      </c>
      <c r="M11" s="54" t="s">
        <v>23</v>
      </c>
      <c r="N11" s="50" t="s">
        <v>67</v>
      </c>
      <c r="O11" s="50" t="s">
        <v>72</v>
      </c>
      <c r="P11" s="54"/>
      <c r="Q11" s="50"/>
    </row>
    <row r="12" spans="1:25" s="55" customFormat="1" ht="44.25" customHeight="1">
      <c r="A12" s="50" t="s">
        <v>73</v>
      </c>
      <c r="B12" s="50" t="s">
        <v>74</v>
      </c>
      <c r="C12" s="50" t="s">
        <v>75</v>
      </c>
      <c r="D12" s="51">
        <v>210000</v>
      </c>
      <c r="E12" s="51"/>
      <c r="F12" s="50"/>
      <c r="G12" s="50"/>
      <c r="H12" s="54"/>
      <c r="I12" s="51" t="s">
        <v>23</v>
      </c>
      <c r="J12" s="51" t="s">
        <v>43</v>
      </c>
      <c r="K12" s="53" t="s">
        <v>76</v>
      </c>
      <c r="L12" s="51" t="s">
        <v>23</v>
      </c>
      <c r="M12" s="51" t="s">
        <v>23</v>
      </c>
      <c r="N12" s="54"/>
      <c r="O12" s="50"/>
      <c r="P12" s="53"/>
      <c r="Q12" s="54"/>
      <c r="R12" s="54"/>
      <c r="S12" s="54"/>
      <c r="T12" s="54"/>
      <c r="U12" s="54"/>
      <c r="V12" s="56" t="s">
        <v>21</v>
      </c>
      <c r="W12" s="50"/>
      <c r="X12" s="54"/>
      <c r="Y12" s="50" t="s">
        <v>77</v>
      </c>
    </row>
    <row r="13" spans="1:25" ht="27.75" customHeight="1">
      <c r="A13" s="44"/>
      <c r="B13" s="44"/>
      <c r="C13" s="44"/>
      <c r="D13" s="45"/>
      <c r="E13" s="46"/>
      <c r="F13" s="46"/>
      <c r="G13" s="47" t="s">
        <v>78</v>
      </c>
      <c r="H13" s="48">
        <f>SUM(H9:H11)</f>
        <v>77399.784</v>
      </c>
      <c r="I13" s="49"/>
      <c r="J13" s="44"/>
      <c r="K13" s="45"/>
      <c r="L13" s="49"/>
      <c r="M13" s="49"/>
      <c r="N13" s="49"/>
      <c r="O13" s="44"/>
      <c r="P13" s="49"/>
      <c r="Q13" s="44"/>
    </row>
    <row r="15" spans="1:25">
      <c r="G15" s="57" t="s">
        <v>79</v>
      </c>
      <c r="H15" s="17">
        <f>H8</f>
        <v>182716.19699999996</v>
      </c>
    </row>
    <row r="16" spans="1:25">
      <c r="G16" s="57" t="s">
        <v>80</v>
      </c>
      <c r="H16" s="17">
        <f>H13</f>
        <v>77399.784</v>
      </c>
      <c r="I16" s="17"/>
    </row>
    <row r="17" spans="7:8">
      <c r="G17" s="58" t="s">
        <v>81</v>
      </c>
      <c r="H17" s="59">
        <v>216000</v>
      </c>
    </row>
    <row r="18" spans="7:8">
      <c r="G18" s="57" t="s">
        <v>82</v>
      </c>
      <c r="H18" s="17">
        <f>H17-H15</f>
        <v>33283.803000000044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topLeftCell="B1" zoomScale="70" zoomScaleNormal="70" workbookViewId="0">
      <pane ySplit="1" topLeftCell="A2" activePane="bottomLeft" state="frozen"/>
      <selection pane="bottomLeft" activeCell="E6" sqref="E6"/>
      <selection activeCell="H1" sqref="H1"/>
    </sheetView>
  </sheetViews>
  <sheetFormatPr defaultRowHeight="14.1"/>
  <cols>
    <col min="1" max="1" width="17.125" customWidth="1"/>
    <col min="2" max="2" width="37.125" customWidth="1"/>
    <col min="3" max="3" width="9.75" customWidth="1"/>
    <col min="4" max="4" width="26.375" customWidth="1"/>
    <col min="5" max="5" width="33.875" customWidth="1"/>
    <col min="6" max="6" width="20" customWidth="1"/>
    <col min="7" max="7" width="19.75" customWidth="1"/>
    <col min="8" max="8" width="18.875" customWidth="1"/>
    <col min="9" max="9" width="16.75" customWidth="1"/>
    <col min="10" max="10" width="13.875" style="17" customWidth="1"/>
    <col min="11" max="12" width="20.125" style="17" customWidth="1"/>
    <col min="13" max="13" width="16.75" style="17" customWidth="1"/>
    <col min="14" max="14" width="17.5" customWidth="1"/>
    <col min="15" max="15" width="25.25" customWidth="1"/>
    <col min="16" max="16" width="26.25" customWidth="1"/>
    <col min="17" max="17" width="15.625" style="17" customWidth="1"/>
    <col min="18" max="18" width="16" customWidth="1"/>
    <col min="19" max="19" width="9.5" customWidth="1"/>
    <col min="20" max="20" width="20.5" customWidth="1"/>
    <col min="21" max="21" width="15.75" customWidth="1"/>
    <col min="22" max="22" width="14.625" customWidth="1"/>
    <col min="23" max="23" width="25.375" customWidth="1"/>
    <col min="24" max="24" width="37.75" style="10" customWidth="1"/>
    <col min="25" max="25" width="23.375" bestFit="1" customWidth="1"/>
  </cols>
  <sheetData>
    <row r="1" spans="1:25" s="9" customFormat="1" ht="104.25" customHeight="1">
      <c r="A1" s="1" t="s">
        <v>0</v>
      </c>
      <c r="B1" s="2" t="s">
        <v>1</v>
      </c>
      <c r="C1" s="3" t="s">
        <v>83</v>
      </c>
      <c r="D1" s="4" t="s">
        <v>84</v>
      </c>
      <c r="E1" s="4" t="s">
        <v>85</v>
      </c>
      <c r="F1" s="4" t="s">
        <v>86</v>
      </c>
      <c r="G1" s="4" t="s">
        <v>2</v>
      </c>
      <c r="H1" s="30" t="s">
        <v>87</v>
      </c>
      <c r="I1" s="4" t="s">
        <v>88</v>
      </c>
      <c r="J1" s="5" t="s">
        <v>4</v>
      </c>
      <c r="K1" s="5" t="s">
        <v>5</v>
      </c>
      <c r="L1" s="5" t="s">
        <v>6</v>
      </c>
      <c r="M1" s="5" t="s">
        <v>7</v>
      </c>
      <c r="N1" s="4" t="s">
        <v>8</v>
      </c>
      <c r="O1" s="4" t="s">
        <v>89</v>
      </c>
      <c r="P1" s="4" t="s">
        <v>90</v>
      </c>
      <c r="Q1" s="30" t="s">
        <v>11</v>
      </c>
      <c r="R1" s="4" t="s">
        <v>12</v>
      </c>
      <c r="S1" s="4" t="s">
        <v>91</v>
      </c>
      <c r="T1" s="4" t="s">
        <v>92</v>
      </c>
      <c r="U1" s="6" t="s">
        <v>93</v>
      </c>
      <c r="V1" s="6" t="s">
        <v>14</v>
      </c>
      <c r="W1" s="2" t="s">
        <v>94</v>
      </c>
      <c r="X1" s="2" t="s">
        <v>95</v>
      </c>
      <c r="Y1" s="8" t="s">
        <v>96</v>
      </c>
    </row>
    <row r="2" spans="1:25" ht="69.95">
      <c r="A2" t="s">
        <v>32</v>
      </c>
      <c r="B2" t="s">
        <v>37</v>
      </c>
      <c r="C2" s="15">
        <v>1</v>
      </c>
      <c r="D2" t="s">
        <v>23</v>
      </c>
      <c r="E2" t="s">
        <v>97</v>
      </c>
      <c r="F2" s="10" t="s">
        <v>98</v>
      </c>
      <c r="G2" t="s">
        <v>99</v>
      </c>
      <c r="H2" t="s">
        <v>23</v>
      </c>
      <c r="I2" s="31">
        <v>189999.96</v>
      </c>
      <c r="J2" s="17">
        <v>69876</v>
      </c>
      <c r="K2" s="17">
        <f>((I2*0.75)-J2)*0.5</f>
        <v>36311.985000000001</v>
      </c>
      <c r="L2" s="17">
        <f t="shared" ref="L2:L5" si="0">K2*0.288</f>
        <v>10457.85168</v>
      </c>
      <c r="M2" s="17">
        <v>57598.75</v>
      </c>
      <c r="N2" t="s">
        <v>23</v>
      </c>
      <c r="O2" s="10" t="s">
        <v>100</v>
      </c>
      <c r="P2" t="s">
        <v>101</v>
      </c>
      <c r="Q2" t="s">
        <v>23</v>
      </c>
      <c r="R2" t="s">
        <v>23</v>
      </c>
      <c r="S2" t="s">
        <v>102</v>
      </c>
      <c r="T2" t="s">
        <v>21</v>
      </c>
      <c r="U2" s="19">
        <v>57598.75</v>
      </c>
      <c r="V2" t="s">
        <v>103</v>
      </c>
      <c r="X2" s="10" t="s">
        <v>104</v>
      </c>
      <c r="Y2" t="s">
        <v>105</v>
      </c>
    </row>
    <row r="3" spans="1:25" ht="84">
      <c r="A3" t="s">
        <v>32</v>
      </c>
      <c r="B3" t="s">
        <v>33</v>
      </c>
      <c r="C3" s="15">
        <v>1</v>
      </c>
      <c r="D3" t="s">
        <v>23</v>
      </c>
      <c r="E3" t="s">
        <v>106</v>
      </c>
      <c r="F3" s="10" t="s">
        <v>107</v>
      </c>
      <c r="G3" t="s">
        <v>108</v>
      </c>
      <c r="H3" t="s">
        <v>23</v>
      </c>
      <c r="I3" s="31">
        <v>193999.92</v>
      </c>
      <c r="J3" s="17">
        <v>68750</v>
      </c>
      <c r="K3" s="17">
        <f>((I3*0.75)-J3)*0.5</f>
        <v>38374.97</v>
      </c>
      <c r="L3" s="17">
        <f t="shared" si="0"/>
        <v>11051.99136</v>
      </c>
      <c r="M3" s="17">
        <v>43470</v>
      </c>
      <c r="N3" t="s">
        <v>23</v>
      </c>
      <c r="O3" s="10" t="s">
        <v>100</v>
      </c>
      <c r="P3" t="s">
        <v>101</v>
      </c>
      <c r="Q3" t="s">
        <v>23</v>
      </c>
      <c r="R3" t="s">
        <v>23</v>
      </c>
      <c r="S3" t="s">
        <v>102</v>
      </c>
      <c r="T3" t="s">
        <v>21</v>
      </c>
      <c r="U3" s="19">
        <v>43470</v>
      </c>
      <c r="V3" t="s">
        <v>109</v>
      </c>
      <c r="X3" s="10" t="s">
        <v>110</v>
      </c>
      <c r="Y3" t="s">
        <v>111</v>
      </c>
    </row>
    <row r="4" spans="1:25" ht="69.95">
      <c r="A4" t="s">
        <v>112</v>
      </c>
      <c r="B4" t="s">
        <v>113</v>
      </c>
      <c r="C4">
        <v>1</v>
      </c>
      <c r="D4" s="17" t="s">
        <v>23</v>
      </c>
      <c r="E4" s="17" t="s">
        <v>114</v>
      </c>
      <c r="F4" s="13" t="s">
        <v>115</v>
      </c>
      <c r="G4" s="32" t="s">
        <v>116</v>
      </c>
      <c r="H4" s="17" t="s">
        <v>23</v>
      </c>
      <c r="I4" s="31">
        <v>160680</v>
      </c>
      <c r="J4" s="17">
        <v>100000</v>
      </c>
      <c r="K4" s="17">
        <f>(I4*0.75-J4)/2</f>
        <v>10255</v>
      </c>
      <c r="L4" s="17">
        <f t="shared" si="0"/>
        <v>2953.4399999999996</v>
      </c>
      <c r="M4" s="17">
        <f>SUM(K4:L4)</f>
        <v>13208.439999999999</v>
      </c>
      <c r="N4" t="s">
        <v>23</v>
      </c>
      <c r="O4" t="s">
        <v>117</v>
      </c>
      <c r="P4" s="17">
        <v>0</v>
      </c>
      <c r="Q4" s="17" t="s">
        <v>23</v>
      </c>
      <c r="R4" t="s">
        <v>23</v>
      </c>
      <c r="S4" t="s">
        <v>118</v>
      </c>
      <c r="T4" t="s">
        <v>21</v>
      </c>
      <c r="U4" t="s">
        <v>21</v>
      </c>
      <c r="V4" t="s">
        <v>21</v>
      </c>
      <c r="W4" t="s">
        <v>119</v>
      </c>
      <c r="X4" s="10" t="s">
        <v>120</v>
      </c>
      <c r="Y4" t="s">
        <v>121</v>
      </c>
    </row>
    <row r="5" spans="1:25" ht="42">
      <c r="A5" t="s">
        <v>112</v>
      </c>
      <c r="B5" t="s">
        <v>19</v>
      </c>
      <c r="C5">
        <v>0.75</v>
      </c>
      <c r="D5" t="s">
        <v>23</v>
      </c>
      <c r="E5" t="s">
        <v>122</v>
      </c>
      <c r="F5" s="10" t="s">
        <v>123</v>
      </c>
      <c r="G5" t="s">
        <v>124</v>
      </c>
      <c r="H5" t="s">
        <v>23</v>
      </c>
      <c r="I5" s="31">
        <v>120442.56</v>
      </c>
      <c r="J5" s="17">
        <v>100000</v>
      </c>
      <c r="K5" s="17">
        <f>(I5*0.75-J5)/2</f>
        <v>-4834.0400000000009</v>
      </c>
      <c r="L5" s="17">
        <f t="shared" si="0"/>
        <v>-1392.2035200000003</v>
      </c>
      <c r="M5" s="17">
        <f>SUM(K5:L5)</f>
        <v>-6226.2435200000009</v>
      </c>
      <c r="N5" t="s">
        <v>23</v>
      </c>
      <c r="O5" t="s">
        <v>125</v>
      </c>
      <c r="P5" s="10" t="s">
        <v>126</v>
      </c>
      <c r="Q5" s="17" t="s">
        <v>23</v>
      </c>
      <c r="R5" t="s">
        <v>23</v>
      </c>
      <c r="S5" t="s">
        <v>118</v>
      </c>
      <c r="T5" t="s">
        <v>21</v>
      </c>
      <c r="U5" t="s">
        <v>21</v>
      </c>
      <c r="V5" t="s">
        <v>21</v>
      </c>
      <c r="W5" s="10" t="s">
        <v>127</v>
      </c>
      <c r="X5" s="10" t="s">
        <v>120</v>
      </c>
      <c r="Y5" t="s">
        <v>128</v>
      </c>
    </row>
    <row r="6" spans="1:25" ht="111.95">
      <c r="A6" t="s">
        <v>40</v>
      </c>
      <c r="B6" t="s">
        <v>47</v>
      </c>
      <c r="C6">
        <v>1</v>
      </c>
      <c r="D6" t="s">
        <v>23</v>
      </c>
      <c r="E6" t="s">
        <v>129</v>
      </c>
      <c r="F6" s="10" t="s">
        <v>130</v>
      </c>
      <c r="G6" t="s">
        <v>131</v>
      </c>
      <c r="H6" t="s">
        <v>23</v>
      </c>
      <c r="I6" s="31">
        <v>194838.12</v>
      </c>
      <c r="J6" s="17">
        <v>100000</v>
      </c>
      <c r="K6" s="17">
        <v>30564.25</v>
      </c>
      <c r="L6" s="17">
        <v>8802.5</v>
      </c>
      <c r="M6" s="17">
        <v>39366.75</v>
      </c>
      <c r="N6" t="s">
        <v>23</v>
      </c>
      <c r="O6" s="10" t="s">
        <v>132</v>
      </c>
      <c r="Q6" s="17" t="s">
        <v>23</v>
      </c>
      <c r="R6" t="s">
        <v>23</v>
      </c>
      <c r="S6" t="s">
        <v>102</v>
      </c>
      <c r="T6" t="s">
        <v>21</v>
      </c>
      <c r="U6" t="s">
        <v>23</v>
      </c>
      <c r="V6" t="s">
        <v>21</v>
      </c>
      <c r="W6" s="10" t="s">
        <v>133</v>
      </c>
      <c r="X6" s="10" t="s">
        <v>134</v>
      </c>
      <c r="Y6" t="s">
        <v>135</v>
      </c>
    </row>
    <row r="25" spans="1:4" ht="18">
      <c r="A25" s="33" t="s">
        <v>136</v>
      </c>
      <c r="B25" s="34"/>
      <c r="C25" s="34"/>
      <c r="D25" s="34"/>
    </row>
    <row r="26" spans="1:4" ht="18">
      <c r="A26" s="33"/>
      <c r="B26" s="34"/>
      <c r="C26" s="34"/>
      <c r="D26" s="34"/>
    </row>
    <row r="27" spans="1:4">
      <c r="A27" s="35" t="s">
        <v>137</v>
      </c>
      <c r="B27" s="34"/>
      <c r="C27" s="34"/>
      <c r="D27" s="34"/>
    </row>
    <row r="28" spans="1:4">
      <c r="A28" s="35" t="s">
        <v>138</v>
      </c>
      <c r="B28" s="34"/>
      <c r="C28" s="34"/>
      <c r="D28" s="34"/>
    </row>
    <row r="29" spans="1:4">
      <c r="A29" s="35" t="s">
        <v>139</v>
      </c>
      <c r="B29" s="34"/>
      <c r="C29" s="34"/>
      <c r="D29" s="34"/>
    </row>
    <row r="30" spans="1:4">
      <c r="A30" s="35" t="s">
        <v>140</v>
      </c>
      <c r="B30" s="34"/>
      <c r="C30" s="34"/>
      <c r="D30" s="34"/>
    </row>
    <row r="31" spans="1:4">
      <c r="A31" s="35" t="s">
        <v>141</v>
      </c>
      <c r="B31" s="34"/>
      <c r="C31" s="34"/>
      <c r="D31" s="34"/>
    </row>
    <row r="32" spans="1:4">
      <c r="A32" s="35" t="s">
        <v>142</v>
      </c>
      <c r="B32" s="34"/>
      <c r="C32" s="34"/>
      <c r="D32" s="34"/>
    </row>
    <row r="33" spans="1:4">
      <c r="A33" s="35" t="s">
        <v>143</v>
      </c>
      <c r="B33" s="34"/>
      <c r="C33" s="34"/>
      <c r="D33" s="34"/>
    </row>
    <row r="34" spans="1:4">
      <c r="A34" s="35" t="s">
        <v>144</v>
      </c>
      <c r="B34" s="34"/>
      <c r="C34" s="34"/>
      <c r="D34" s="34"/>
    </row>
    <row r="35" spans="1:4">
      <c r="A35" s="35" t="s">
        <v>145</v>
      </c>
      <c r="B35" s="34"/>
      <c r="C35" s="34"/>
      <c r="D35" s="34"/>
    </row>
    <row r="36" spans="1:4">
      <c r="A36" s="36" t="s">
        <v>146</v>
      </c>
      <c r="B36" s="34"/>
      <c r="C36" s="34"/>
      <c r="D36" s="3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8"/>
  <sheetViews>
    <sheetView workbookViewId="0">
      <selection activeCell="B2" sqref="B2"/>
    </sheetView>
  </sheetViews>
  <sheetFormatPr defaultColWidth="9" defaultRowHeight="14.1"/>
  <cols>
    <col min="1" max="1" width="17.125" style="10" customWidth="1"/>
    <col min="2" max="2" width="37.125" style="10" customWidth="1"/>
    <col min="3" max="3" width="9.75" style="10" customWidth="1"/>
    <col min="4" max="4" width="26.375" style="10" customWidth="1"/>
    <col min="5" max="5" width="33.875" style="10" customWidth="1"/>
    <col min="6" max="6" width="20" style="10" customWidth="1"/>
    <col min="7" max="7" width="19.75" style="10" bestFit="1" customWidth="1"/>
    <col min="8" max="8" width="18.875" style="10" customWidth="1"/>
    <col min="9" max="9" width="16.75" style="10" customWidth="1"/>
    <col min="10" max="10" width="13.875" style="13" customWidth="1"/>
    <col min="11" max="12" width="20.125" style="13" customWidth="1"/>
    <col min="13" max="13" width="16.75" style="13" customWidth="1"/>
    <col min="14" max="14" width="17.5" style="10" customWidth="1"/>
    <col min="15" max="15" width="25.25" style="10" customWidth="1"/>
    <col min="16" max="16" width="26.25" style="10" customWidth="1"/>
    <col min="17" max="17" width="15.625" style="13" customWidth="1"/>
    <col min="18" max="18" width="16" style="10" customWidth="1"/>
    <col min="19" max="19" width="9.5" style="10" customWidth="1"/>
    <col min="20" max="20" width="20.5" style="10" customWidth="1"/>
    <col min="21" max="21" width="15.75" style="10" customWidth="1"/>
    <col min="22" max="22" width="14.625" style="10" customWidth="1"/>
    <col min="23" max="23" width="27.125" style="10" customWidth="1"/>
    <col min="24" max="24" width="25.5" style="10" customWidth="1"/>
    <col min="25" max="25" width="12.25" style="10" customWidth="1"/>
    <col min="26" max="26" width="12.5" style="10" customWidth="1"/>
    <col min="27" max="27" width="17.875" style="10" customWidth="1"/>
    <col min="28" max="16384" width="9" style="10"/>
  </cols>
  <sheetData>
    <row r="1" spans="1:27" s="9" customFormat="1" ht="104.25" customHeight="1">
      <c r="A1" s="1" t="s">
        <v>0</v>
      </c>
      <c r="B1" s="2" t="s">
        <v>1</v>
      </c>
      <c r="C1" s="3" t="s">
        <v>83</v>
      </c>
      <c r="D1" s="4" t="s">
        <v>84</v>
      </c>
      <c r="E1" s="4" t="s">
        <v>85</v>
      </c>
      <c r="F1" s="4" t="s">
        <v>86</v>
      </c>
      <c r="G1" s="4" t="s">
        <v>2</v>
      </c>
      <c r="H1" s="4" t="s">
        <v>87</v>
      </c>
      <c r="I1" s="4" t="s">
        <v>147</v>
      </c>
      <c r="J1" s="5" t="s">
        <v>4</v>
      </c>
      <c r="K1" s="5" t="s">
        <v>5</v>
      </c>
      <c r="L1" s="5" t="s">
        <v>6</v>
      </c>
      <c r="M1" s="5" t="s">
        <v>7</v>
      </c>
      <c r="N1" s="4" t="s">
        <v>8</v>
      </c>
      <c r="O1" s="4" t="s">
        <v>89</v>
      </c>
      <c r="P1" s="4" t="s">
        <v>90</v>
      </c>
      <c r="Q1" s="4" t="s">
        <v>11</v>
      </c>
      <c r="R1" s="4" t="s">
        <v>12</v>
      </c>
      <c r="S1" s="4" t="s">
        <v>91</v>
      </c>
      <c r="T1" s="4" t="s">
        <v>148</v>
      </c>
      <c r="U1" s="6" t="s">
        <v>93</v>
      </c>
      <c r="V1" s="6" t="s">
        <v>14</v>
      </c>
      <c r="W1" s="4" t="s">
        <v>94</v>
      </c>
      <c r="X1" s="4" t="s">
        <v>95</v>
      </c>
      <c r="Y1" s="7" t="s">
        <v>15</v>
      </c>
      <c r="Z1" s="8" t="s">
        <v>149</v>
      </c>
      <c r="AA1" s="8" t="s">
        <v>96</v>
      </c>
    </row>
    <row r="2" spans="1:27" ht="27.95">
      <c r="A2" s="10" t="s">
        <v>40</v>
      </c>
      <c r="B2" s="10" t="s">
        <v>150</v>
      </c>
      <c r="C2" s="11">
        <v>1</v>
      </c>
      <c r="D2" s="10" t="s">
        <v>38</v>
      </c>
      <c r="E2" s="10" t="s">
        <v>151</v>
      </c>
      <c r="F2" s="10" t="s">
        <v>152</v>
      </c>
      <c r="G2" s="10" t="s">
        <v>153</v>
      </c>
      <c r="H2" s="10" t="s">
        <v>38</v>
      </c>
      <c r="I2" s="12">
        <v>160000</v>
      </c>
      <c r="J2" s="13">
        <v>100000</v>
      </c>
      <c r="K2" s="13">
        <f>(J2-(I2*0.75))/2</f>
        <v>-10000</v>
      </c>
      <c r="L2" s="13">
        <f t="shared" ref="L2:L9" si="0">K2*0.288</f>
        <v>-2880</v>
      </c>
      <c r="M2" s="13">
        <f>K2+L2</f>
        <v>-12880</v>
      </c>
      <c r="N2" s="10" t="s">
        <v>38</v>
      </c>
      <c r="O2" s="10" t="s">
        <v>154</v>
      </c>
      <c r="Q2" s="10" t="s">
        <v>38</v>
      </c>
      <c r="R2" s="10" t="s">
        <v>23</v>
      </c>
      <c r="S2" s="10" t="s">
        <v>118</v>
      </c>
      <c r="T2" s="10" t="s">
        <v>21</v>
      </c>
      <c r="U2" s="14" t="s">
        <v>21</v>
      </c>
      <c r="V2" s="10" t="s">
        <v>21</v>
      </c>
      <c r="W2" s="10" t="s">
        <v>155</v>
      </c>
    </row>
    <row r="3" spans="1:27" customFormat="1" ht="56.45">
      <c r="A3" t="s">
        <v>156</v>
      </c>
      <c r="B3" t="s">
        <v>157</v>
      </c>
      <c r="C3" s="15">
        <v>1</v>
      </c>
      <c r="D3" t="s">
        <v>158</v>
      </c>
      <c r="E3" t="s">
        <v>159</v>
      </c>
      <c r="F3" s="10" t="s">
        <v>160</v>
      </c>
      <c r="G3" t="s">
        <v>161</v>
      </c>
      <c r="H3" t="s">
        <v>23</v>
      </c>
      <c r="I3" s="16">
        <f>176851*1.01</f>
        <v>178619.51</v>
      </c>
      <c r="J3" s="17">
        <v>100000</v>
      </c>
      <c r="K3" s="17">
        <f>(I3-J3)/2</f>
        <v>39309.755000000005</v>
      </c>
      <c r="L3" s="17">
        <f>K3*0.288</f>
        <v>11321.209440000001</v>
      </c>
      <c r="M3" s="17">
        <f>K3+L3</f>
        <v>50630.964440000003</v>
      </c>
      <c r="N3" t="s">
        <v>162</v>
      </c>
      <c r="O3" s="10" t="s">
        <v>163</v>
      </c>
      <c r="P3" s="18">
        <v>50000</v>
      </c>
      <c r="Q3" t="s">
        <v>162</v>
      </c>
      <c r="R3" t="s">
        <v>162</v>
      </c>
      <c r="S3" t="s">
        <v>102</v>
      </c>
      <c r="T3" t="s">
        <v>164</v>
      </c>
      <c r="U3" s="19" t="s">
        <v>164</v>
      </c>
      <c r="V3" t="s">
        <v>162</v>
      </c>
      <c r="W3" s="20" t="s">
        <v>165</v>
      </c>
    </row>
    <row r="4" spans="1:27" ht="70.5">
      <c r="A4" s="10" t="s">
        <v>156</v>
      </c>
      <c r="B4" s="10" t="s">
        <v>166</v>
      </c>
      <c r="C4" s="11">
        <v>1</v>
      </c>
      <c r="D4" s="10" t="s">
        <v>167</v>
      </c>
      <c r="E4" s="10" t="s">
        <v>168</v>
      </c>
      <c r="F4" s="10" t="s">
        <v>169</v>
      </c>
      <c r="G4" s="10" t="s">
        <v>170</v>
      </c>
      <c r="H4" s="10" t="s">
        <v>23</v>
      </c>
      <c r="I4" s="12">
        <v>120000</v>
      </c>
      <c r="J4" s="13">
        <v>90000</v>
      </c>
      <c r="K4" s="13">
        <f>(I4-J4)/2</f>
        <v>15000</v>
      </c>
      <c r="L4" s="13">
        <f t="shared" si="0"/>
        <v>4320</v>
      </c>
      <c r="M4" s="13">
        <f>K4+L4</f>
        <v>19320</v>
      </c>
      <c r="N4" s="10" t="s">
        <v>21</v>
      </c>
      <c r="Q4" s="10" t="s">
        <v>38</v>
      </c>
      <c r="R4" s="10" t="s">
        <v>23</v>
      </c>
      <c r="S4" s="10" t="s">
        <v>102</v>
      </c>
      <c r="T4" s="10" t="s">
        <v>21</v>
      </c>
      <c r="U4" s="14" t="s">
        <v>21</v>
      </c>
      <c r="V4" s="10" t="s">
        <v>23</v>
      </c>
      <c r="W4" s="20" t="s">
        <v>171</v>
      </c>
    </row>
    <row r="5" spans="1:27" ht="98.45">
      <c r="A5" s="10" t="s">
        <v>156</v>
      </c>
      <c r="B5" s="10" t="s">
        <v>172</v>
      </c>
      <c r="C5" s="11">
        <v>1</v>
      </c>
      <c r="D5" s="10" t="s">
        <v>167</v>
      </c>
      <c r="E5" s="10" t="s">
        <v>173</v>
      </c>
      <c r="F5" s="10" t="s">
        <v>174</v>
      </c>
      <c r="G5" s="10" t="s">
        <v>175</v>
      </c>
      <c r="H5" s="10" t="s">
        <v>23</v>
      </c>
      <c r="I5" s="12">
        <v>86000</v>
      </c>
      <c r="J5" s="13">
        <v>64890</v>
      </c>
      <c r="K5" s="13">
        <f>(I5-J5)/2</f>
        <v>10555</v>
      </c>
      <c r="L5" s="13">
        <f t="shared" si="0"/>
        <v>3039.8399999999997</v>
      </c>
      <c r="M5" s="13">
        <f>K5+L5</f>
        <v>13594.84</v>
      </c>
      <c r="N5" s="10" t="s">
        <v>21</v>
      </c>
      <c r="Q5" s="10" t="s">
        <v>23</v>
      </c>
      <c r="R5" s="10" t="s">
        <v>23</v>
      </c>
      <c r="S5" s="10" t="s">
        <v>102</v>
      </c>
      <c r="T5" s="10" t="s">
        <v>23</v>
      </c>
      <c r="U5" s="14" t="s">
        <v>21</v>
      </c>
      <c r="V5" s="10" t="s">
        <v>23</v>
      </c>
      <c r="W5" s="20" t="s">
        <v>176</v>
      </c>
    </row>
    <row r="6" spans="1:27" ht="56.1">
      <c r="A6" s="10" t="s">
        <v>177</v>
      </c>
      <c r="B6" s="10" t="s">
        <v>33</v>
      </c>
      <c r="C6" s="21">
        <v>1</v>
      </c>
      <c r="E6" s="10" t="s">
        <v>178</v>
      </c>
      <c r="F6" s="10" t="s">
        <v>179</v>
      </c>
      <c r="G6" s="10" t="s">
        <v>180</v>
      </c>
      <c r="H6" s="10" t="s">
        <v>38</v>
      </c>
      <c r="I6" s="22">
        <v>193999.92</v>
      </c>
      <c r="J6" s="13">
        <v>100000</v>
      </c>
      <c r="K6" s="13">
        <f>((I6*0.75)-J6)/2</f>
        <v>22749.97</v>
      </c>
      <c r="L6" s="13">
        <f t="shared" si="0"/>
        <v>6551.99136</v>
      </c>
      <c r="M6" s="13">
        <f>L6+K6</f>
        <v>29301.961360000001</v>
      </c>
      <c r="N6" s="10" t="s">
        <v>23</v>
      </c>
      <c r="O6" s="10" t="s">
        <v>100</v>
      </c>
      <c r="P6" s="23">
        <f>M6/12*4</f>
        <v>9767.3204533333337</v>
      </c>
      <c r="Q6" s="10" t="s">
        <v>23</v>
      </c>
      <c r="R6" s="10" t="s">
        <v>23</v>
      </c>
      <c r="S6" s="10" t="s">
        <v>102</v>
      </c>
      <c r="U6" s="14" t="s">
        <v>181</v>
      </c>
      <c r="V6" s="10" t="s">
        <v>21</v>
      </c>
    </row>
    <row r="7" spans="1:27" ht="69.95">
      <c r="A7" s="10" t="s">
        <v>177</v>
      </c>
      <c r="B7" s="10" t="s">
        <v>37</v>
      </c>
      <c r="C7" s="21">
        <v>1</v>
      </c>
      <c r="E7" s="10" t="s">
        <v>97</v>
      </c>
      <c r="F7" s="10" t="s">
        <v>182</v>
      </c>
      <c r="G7" s="10" t="s">
        <v>183</v>
      </c>
      <c r="H7" s="10" t="s">
        <v>23</v>
      </c>
      <c r="I7" s="22">
        <v>190000</v>
      </c>
      <c r="J7" s="13">
        <f>50000/1.288</f>
        <v>38819.875776397515</v>
      </c>
      <c r="K7" s="13">
        <f>((I7*0.75)-J7)/2</f>
        <v>51840.062111801242</v>
      </c>
      <c r="L7" s="13">
        <f t="shared" si="0"/>
        <v>14929.937888198756</v>
      </c>
      <c r="M7" s="13">
        <f>L7+K7</f>
        <v>66770</v>
      </c>
      <c r="N7" s="10" t="s">
        <v>23</v>
      </c>
      <c r="O7" s="10" t="s">
        <v>100</v>
      </c>
      <c r="P7" s="23">
        <f>M7/12*4</f>
        <v>22256.666666666668</v>
      </c>
      <c r="Q7" s="10" t="s">
        <v>23</v>
      </c>
      <c r="R7" s="10" t="s">
        <v>23</v>
      </c>
      <c r="S7" s="10" t="s">
        <v>102</v>
      </c>
      <c r="U7" s="14" t="s">
        <v>184</v>
      </c>
      <c r="V7" s="10" t="s">
        <v>21</v>
      </c>
    </row>
    <row r="8" spans="1:27" ht="56.1">
      <c r="A8" s="10" t="s">
        <v>177</v>
      </c>
      <c r="B8" s="10" t="s">
        <v>185</v>
      </c>
      <c r="C8" s="21">
        <v>0.91</v>
      </c>
      <c r="D8" s="13"/>
      <c r="E8" s="13" t="s">
        <v>186</v>
      </c>
      <c r="F8" s="13" t="s">
        <v>187</v>
      </c>
      <c r="G8" s="24" t="s">
        <v>188</v>
      </c>
      <c r="H8" s="13" t="s">
        <v>38</v>
      </c>
      <c r="I8" s="22">
        <v>157733</v>
      </c>
      <c r="J8" s="13">
        <v>27174</v>
      </c>
      <c r="K8" s="13">
        <f>((I8*0.75)-J8)/2</f>
        <v>45562.875</v>
      </c>
      <c r="L8" s="13">
        <f t="shared" si="0"/>
        <v>13122.107999999998</v>
      </c>
      <c r="M8" s="13">
        <f>L8+K8</f>
        <v>58684.983</v>
      </c>
      <c r="N8" s="10" t="s">
        <v>21</v>
      </c>
      <c r="O8" s="10" t="s">
        <v>189</v>
      </c>
      <c r="P8" s="25" t="s">
        <v>189</v>
      </c>
      <c r="Q8" s="10" t="s">
        <v>21</v>
      </c>
      <c r="R8" s="10" t="s">
        <v>23</v>
      </c>
      <c r="S8" s="10" t="s">
        <v>102</v>
      </c>
      <c r="U8" s="10" t="s">
        <v>21</v>
      </c>
      <c r="V8" s="10" t="s">
        <v>23</v>
      </c>
    </row>
    <row r="9" spans="1:27" ht="42">
      <c r="A9" s="10" t="s">
        <v>190</v>
      </c>
      <c r="B9" s="10" t="s">
        <v>19</v>
      </c>
      <c r="C9" s="11">
        <v>100</v>
      </c>
      <c r="D9" s="10" t="s">
        <v>23</v>
      </c>
      <c r="E9" s="10" t="s">
        <v>191</v>
      </c>
      <c r="F9" s="10" t="s">
        <v>192</v>
      </c>
      <c r="G9" s="10" t="s">
        <v>193</v>
      </c>
      <c r="H9" s="10" t="s">
        <v>23</v>
      </c>
      <c r="I9" s="12">
        <v>124056</v>
      </c>
      <c r="J9" s="13">
        <v>100000</v>
      </c>
      <c r="K9" s="13">
        <f>(I9-J9)/2</f>
        <v>12028</v>
      </c>
      <c r="L9" s="13">
        <f t="shared" si="0"/>
        <v>3464.0639999999999</v>
      </c>
      <c r="M9" s="13">
        <f>K9+L9</f>
        <v>15492.064</v>
      </c>
      <c r="N9" s="10" t="s">
        <v>23</v>
      </c>
      <c r="O9" s="10" t="s">
        <v>194</v>
      </c>
      <c r="P9" s="10" t="s">
        <v>195</v>
      </c>
      <c r="Q9" s="10" t="s">
        <v>23</v>
      </c>
      <c r="R9" s="10" t="s">
        <v>23</v>
      </c>
      <c r="S9" s="10" t="s">
        <v>118</v>
      </c>
      <c r="T9" s="10" t="s">
        <v>196</v>
      </c>
      <c r="U9" s="14" t="s">
        <v>197</v>
      </c>
      <c r="V9" s="10" t="s">
        <v>21</v>
      </c>
      <c r="W9" s="10" t="s">
        <v>198</v>
      </c>
    </row>
    <row r="27" spans="1:4" ht="54">
      <c r="A27" s="26" t="s">
        <v>136</v>
      </c>
      <c r="B27" s="27"/>
      <c r="C27" s="27"/>
      <c r="D27" s="27"/>
    </row>
    <row r="28" spans="1:4" ht="18">
      <c r="A28" s="26"/>
      <c r="B28" s="27"/>
      <c r="C28" s="27"/>
      <c r="D28" s="27"/>
    </row>
    <row r="29" spans="1:4" ht="27.95">
      <c r="A29" s="28" t="s">
        <v>137</v>
      </c>
      <c r="B29" s="27"/>
      <c r="C29" s="27"/>
      <c r="D29" s="27"/>
    </row>
    <row r="30" spans="1:4" ht="27.95">
      <c r="A30" s="28" t="s">
        <v>138</v>
      </c>
      <c r="B30" s="27"/>
      <c r="C30" s="27"/>
      <c r="D30" s="27"/>
    </row>
    <row r="31" spans="1:4" ht="42">
      <c r="A31" s="28" t="s">
        <v>139</v>
      </c>
      <c r="B31" s="27"/>
      <c r="C31" s="27"/>
      <c r="D31" s="27"/>
    </row>
    <row r="32" spans="1:4" ht="42">
      <c r="A32" s="28" t="s">
        <v>140</v>
      </c>
      <c r="B32" s="27"/>
      <c r="C32" s="27"/>
      <c r="D32" s="27"/>
    </row>
    <row r="33" spans="1:4" ht="42">
      <c r="A33" s="28" t="s">
        <v>199</v>
      </c>
      <c r="B33" s="27"/>
      <c r="C33" s="27"/>
      <c r="D33" s="27"/>
    </row>
    <row r="34" spans="1:4" ht="56.1">
      <c r="A34" s="28" t="s">
        <v>200</v>
      </c>
      <c r="B34" s="27"/>
      <c r="C34" s="27"/>
      <c r="D34" s="27"/>
    </row>
    <row r="35" spans="1:4" ht="42">
      <c r="A35" s="28" t="s">
        <v>201</v>
      </c>
      <c r="B35" s="27"/>
      <c r="C35" s="27"/>
      <c r="D35" s="27"/>
    </row>
    <row r="36" spans="1:4" ht="69.95">
      <c r="A36" s="28" t="s">
        <v>144</v>
      </c>
      <c r="B36" s="27"/>
      <c r="C36" s="27"/>
      <c r="D36" s="27"/>
    </row>
    <row r="37" spans="1:4" ht="84">
      <c r="A37" s="28" t="s">
        <v>145</v>
      </c>
      <c r="B37" s="27"/>
      <c r="C37" s="27"/>
      <c r="D37" s="27"/>
    </row>
    <row r="38" spans="1:4" ht="56.1">
      <c r="A38" s="29" t="s">
        <v>146</v>
      </c>
      <c r="B38" s="27"/>
      <c r="C38" s="27"/>
      <c r="D38" s="27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31"/>
  <sheetViews>
    <sheetView topLeftCell="A4" workbookViewId="0">
      <selection activeCell="D10" sqref="D10"/>
    </sheetView>
  </sheetViews>
  <sheetFormatPr defaultColWidth="9" defaultRowHeight="14.1"/>
  <cols>
    <col min="1" max="1" width="18.875" style="76" customWidth="1"/>
    <col min="2" max="2" width="23.875" style="76" customWidth="1"/>
    <col min="3" max="3" width="7" style="76" customWidth="1"/>
    <col min="4" max="4" width="26.375" style="76" customWidth="1"/>
    <col min="5" max="5" width="20.75" style="76" bestFit="1" customWidth="1"/>
    <col min="6" max="6" width="30.125" style="76" customWidth="1"/>
    <col min="7" max="7" width="19.75" style="76" bestFit="1" customWidth="1"/>
    <col min="8" max="8" width="18.875" style="76" customWidth="1"/>
    <col min="9" max="9" width="16.75" style="76" customWidth="1"/>
    <col min="10" max="10" width="13.875" style="108" customWidth="1"/>
    <col min="11" max="11" width="20.125" style="108" customWidth="1"/>
    <col min="12" max="12" width="16.625" style="108" bestFit="1" customWidth="1"/>
    <col min="13" max="13" width="16.75" style="108" customWidth="1"/>
    <col min="14" max="14" width="17.5" style="76" customWidth="1"/>
    <col min="15" max="15" width="25.25" style="76" customWidth="1"/>
    <col min="16" max="16" width="26.25" style="76" customWidth="1"/>
    <col min="17" max="17" width="15.625" style="108" customWidth="1"/>
    <col min="18" max="18" width="16" style="76" customWidth="1"/>
    <col min="19" max="19" width="9.5" style="76" customWidth="1"/>
    <col min="20" max="20" width="20.5" style="76" customWidth="1"/>
    <col min="21" max="21" width="15.75" style="76" customWidth="1"/>
    <col min="22" max="22" width="14.625" style="76" customWidth="1"/>
    <col min="23" max="23" width="25.375" style="76" customWidth="1"/>
    <col min="24" max="24" width="25.5" style="76" customWidth="1"/>
    <col min="25" max="25" width="12.25" style="76" customWidth="1"/>
    <col min="26" max="26" width="12.5" style="76" customWidth="1"/>
    <col min="27" max="27" width="17.875" style="76" customWidth="1"/>
    <col min="28" max="16384" width="9" style="76"/>
  </cols>
  <sheetData>
    <row r="1" spans="1:27" s="66" customFormat="1" ht="69.95">
      <c r="A1" s="60" t="s">
        <v>0</v>
      </c>
      <c r="B1" s="61" t="s">
        <v>1</v>
      </c>
      <c r="C1" s="62" t="s">
        <v>83</v>
      </c>
      <c r="D1" s="61" t="s">
        <v>84</v>
      </c>
      <c r="E1" s="61" t="s">
        <v>85</v>
      </c>
      <c r="F1" s="61" t="s">
        <v>86</v>
      </c>
      <c r="G1" s="61" t="s">
        <v>2</v>
      </c>
      <c r="H1" s="61" t="s">
        <v>87</v>
      </c>
      <c r="I1" s="61" t="s">
        <v>147</v>
      </c>
      <c r="J1" s="63" t="s">
        <v>4</v>
      </c>
      <c r="K1" s="63" t="s">
        <v>5</v>
      </c>
      <c r="L1" s="63" t="s">
        <v>6</v>
      </c>
      <c r="M1" s="63" t="s">
        <v>7</v>
      </c>
      <c r="N1" s="61" t="s">
        <v>8</v>
      </c>
      <c r="O1" s="61" t="s">
        <v>89</v>
      </c>
      <c r="P1" s="61" t="s">
        <v>90</v>
      </c>
      <c r="Q1" s="61" t="s">
        <v>11</v>
      </c>
      <c r="R1" s="61" t="s">
        <v>12</v>
      </c>
      <c r="S1" s="61" t="s">
        <v>91</v>
      </c>
      <c r="T1" s="61" t="s">
        <v>148</v>
      </c>
      <c r="U1" s="60" t="s">
        <v>93</v>
      </c>
      <c r="V1" s="60" t="s">
        <v>14</v>
      </c>
      <c r="W1" s="61" t="s">
        <v>94</v>
      </c>
      <c r="X1" s="61" t="s">
        <v>95</v>
      </c>
      <c r="Y1" s="64" t="s">
        <v>15</v>
      </c>
      <c r="Z1" s="65" t="s">
        <v>149</v>
      </c>
      <c r="AA1" s="65" t="s">
        <v>96</v>
      </c>
    </row>
    <row r="2" spans="1:27" ht="27.95">
      <c r="A2" s="67" t="s">
        <v>190</v>
      </c>
      <c r="B2" s="68" t="s">
        <v>19</v>
      </c>
      <c r="C2" s="69">
        <v>75</v>
      </c>
      <c r="D2" s="68" t="s">
        <v>190</v>
      </c>
      <c r="E2" s="68" t="s">
        <v>202</v>
      </c>
      <c r="F2" s="70" t="s">
        <v>192</v>
      </c>
      <c r="G2" s="68" t="s">
        <v>193</v>
      </c>
      <c r="H2" s="68" t="s">
        <v>23</v>
      </c>
      <c r="I2" s="71">
        <v>173400</v>
      </c>
      <c r="J2" s="72">
        <v>100000</v>
      </c>
      <c r="K2" s="72">
        <f>15020.78</f>
        <v>15020.78</v>
      </c>
      <c r="L2" s="72">
        <f>K2*0.288</f>
        <v>4325.9846399999997</v>
      </c>
      <c r="M2" s="72">
        <f>K2+L2</f>
        <v>19346.764640000001</v>
      </c>
      <c r="N2" s="68" t="s">
        <v>23</v>
      </c>
      <c r="O2" s="70" t="s">
        <v>203</v>
      </c>
      <c r="P2" s="73">
        <v>50000</v>
      </c>
      <c r="Q2" s="68" t="s">
        <v>23</v>
      </c>
      <c r="R2" s="68" t="s">
        <v>23</v>
      </c>
      <c r="S2" s="68" t="s">
        <v>118</v>
      </c>
      <c r="T2" s="68" t="s">
        <v>164</v>
      </c>
      <c r="U2" s="74" t="s">
        <v>204</v>
      </c>
      <c r="V2" s="68" t="s">
        <v>21</v>
      </c>
      <c r="W2" s="68"/>
      <c r="X2" s="68"/>
      <c r="Y2" s="68"/>
      <c r="Z2" s="68"/>
      <c r="AA2" s="75"/>
    </row>
    <row r="3" spans="1:27" ht="27.95">
      <c r="A3" s="77" t="s">
        <v>40</v>
      </c>
      <c r="B3" s="78" t="s">
        <v>150</v>
      </c>
      <c r="C3" s="79">
        <v>1</v>
      </c>
      <c r="D3" s="78" t="s">
        <v>23</v>
      </c>
      <c r="E3" s="80" t="s">
        <v>205</v>
      </c>
      <c r="F3" s="80" t="s">
        <v>152</v>
      </c>
      <c r="G3" s="78" t="s">
        <v>153</v>
      </c>
      <c r="H3" s="78" t="s">
        <v>38</v>
      </c>
      <c r="I3" s="81">
        <v>161600</v>
      </c>
      <c r="J3" s="82">
        <v>100000</v>
      </c>
      <c r="K3" s="82">
        <f>(I3*0.75-J3)/2</f>
        <v>10600</v>
      </c>
      <c r="L3" s="82">
        <f>K3*0.288</f>
        <v>3052.7999999999997</v>
      </c>
      <c r="M3" s="82">
        <f>SUM(K3:L3)</f>
        <v>13652.8</v>
      </c>
      <c r="N3" s="78" t="s">
        <v>38</v>
      </c>
      <c r="O3" s="80" t="s">
        <v>154</v>
      </c>
      <c r="P3" s="78"/>
      <c r="Q3" s="78" t="s">
        <v>38</v>
      </c>
      <c r="R3" s="78" t="s">
        <v>38</v>
      </c>
      <c r="S3" s="78" t="s">
        <v>118</v>
      </c>
      <c r="T3" s="78" t="s">
        <v>164</v>
      </c>
      <c r="U3" s="83" t="s">
        <v>162</v>
      </c>
      <c r="V3" s="78" t="s">
        <v>164</v>
      </c>
      <c r="W3" s="78" t="s">
        <v>206</v>
      </c>
      <c r="X3" s="78"/>
      <c r="Y3" s="78"/>
      <c r="Z3" s="78"/>
      <c r="AA3" s="84"/>
    </row>
    <row r="4" spans="1:27" s="92" customFormat="1" ht="42">
      <c r="A4" s="85" t="s">
        <v>62</v>
      </c>
      <c r="B4" s="86" t="s">
        <v>207</v>
      </c>
      <c r="C4" s="87">
        <v>1</v>
      </c>
      <c r="D4" s="86" t="s">
        <v>167</v>
      </c>
      <c r="E4" s="86" t="s">
        <v>80</v>
      </c>
      <c r="F4" s="88" t="s">
        <v>208</v>
      </c>
      <c r="G4" s="86" t="s">
        <v>209</v>
      </c>
      <c r="H4" s="86" t="s">
        <v>21</v>
      </c>
      <c r="I4" s="89">
        <f>65000*1.02</f>
        <v>66300</v>
      </c>
      <c r="J4" s="89">
        <v>33313</v>
      </c>
      <c r="K4" s="89">
        <f>50%*(I4-J4)</f>
        <v>16493.5</v>
      </c>
      <c r="L4" s="89">
        <f>K4*26.6%</f>
        <v>4387.2710000000006</v>
      </c>
      <c r="M4" s="89">
        <f>K4+L4</f>
        <v>20880.771000000001</v>
      </c>
      <c r="N4" s="86" t="s">
        <v>23</v>
      </c>
      <c r="O4" s="88" t="s">
        <v>210</v>
      </c>
      <c r="P4" s="90">
        <v>0</v>
      </c>
      <c r="Q4" s="86" t="s">
        <v>211</v>
      </c>
      <c r="R4" s="86" t="s">
        <v>23</v>
      </c>
      <c r="S4" s="86" t="s">
        <v>212</v>
      </c>
      <c r="T4" s="86" t="s">
        <v>21</v>
      </c>
      <c r="U4" s="90" t="s">
        <v>21</v>
      </c>
      <c r="V4" s="88" t="s">
        <v>213</v>
      </c>
      <c r="W4" s="86"/>
      <c r="X4" s="86"/>
      <c r="Y4" s="86"/>
      <c r="Z4" s="86"/>
      <c r="AA4" s="91"/>
    </row>
    <row r="5" spans="1:27" s="102" customFormat="1" ht="56.1">
      <c r="A5" s="93" t="s">
        <v>62</v>
      </c>
      <c r="B5" s="94" t="s">
        <v>214</v>
      </c>
      <c r="C5" s="95">
        <v>1</v>
      </c>
      <c r="D5" s="94" t="s">
        <v>158</v>
      </c>
      <c r="E5" s="94" t="s">
        <v>215</v>
      </c>
      <c r="F5" s="96" t="s">
        <v>216</v>
      </c>
      <c r="G5" s="94" t="s">
        <v>217</v>
      </c>
      <c r="H5" s="94" t="s">
        <v>23</v>
      </c>
      <c r="I5" s="97">
        <f>166448*1.02</f>
        <v>169776.96</v>
      </c>
      <c r="J5" s="98">
        <v>100000</v>
      </c>
      <c r="K5" s="99">
        <f>50%*(I5-J5)</f>
        <v>34888.479999999996</v>
      </c>
      <c r="L5" s="99">
        <f>K5*26.6%</f>
        <v>9280.3356800000001</v>
      </c>
      <c r="M5" s="99">
        <f>K5+L5</f>
        <v>44168.81568</v>
      </c>
      <c r="N5" s="94" t="s">
        <v>21</v>
      </c>
      <c r="O5" s="96"/>
      <c r="P5" s="94"/>
      <c r="Q5" s="94" t="s">
        <v>23</v>
      </c>
      <c r="R5" s="94" t="s">
        <v>23</v>
      </c>
      <c r="S5" s="94" t="s">
        <v>218</v>
      </c>
      <c r="T5" s="94" t="s">
        <v>23</v>
      </c>
      <c r="U5" s="100" t="s">
        <v>21</v>
      </c>
      <c r="V5" s="96" t="s">
        <v>219</v>
      </c>
      <c r="W5" s="94"/>
      <c r="X5" s="94"/>
      <c r="Y5" s="94"/>
      <c r="Z5" s="94"/>
      <c r="AA5" s="101"/>
    </row>
    <row r="6" spans="1:27" customFormat="1" ht="56.1">
      <c r="A6" t="s">
        <v>156</v>
      </c>
      <c r="B6" t="s">
        <v>220</v>
      </c>
      <c r="C6" s="15">
        <v>1</v>
      </c>
      <c r="D6" s="103" t="s">
        <v>221</v>
      </c>
      <c r="E6" t="s">
        <v>222</v>
      </c>
      <c r="F6" s="10" t="s">
        <v>223</v>
      </c>
      <c r="G6" t="s">
        <v>224</v>
      </c>
      <c r="H6" t="s">
        <v>225</v>
      </c>
      <c r="I6" s="16">
        <v>187342</v>
      </c>
      <c r="J6" s="17">
        <v>100000</v>
      </c>
      <c r="K6" s="17">
        <v>9368</v>
      </c>
      <c r="L6" s="17">
        <f>K6*0.266</f>
        <v>2491.8879999999999</v>
      </c>
      <c r="M6" s="17">
        <f>K6+L6</f>
        <v>11859.887999999999</v>
      </c>
      <c r="N6" t="s">
        <v>21</v>
      </c>
      <c r="Q6" t="s">
        <v>225</v>
      </c>
      <c r="R6" t="s">
        <v>225</v>
      </c>
      <c r="S6" t="s">
        <v>118</v>
      </c>
      <c r="T6" t="s">
        <v>164</v>
      </c>
      <c r="U6" s="19">
        <v>0</v>
      </c>
      <c r="V6" t="s">
        <v>225</v>
      </c>
    </row>
    <row r="7" spans="1:27" customFormat="1" ht="27.95">
      <c r="A7" t="s">
        <v>156</v>
      </c>
      <c r="B7" t="s">
        <v>226</v>
      </c>
      <c r="C7" s="15">
        <v>1</v>
      </c>
      <c r="D7" s="103" t="s">
        <v>221</v>
      </c>
      <c r="E7" t="s">
        <v>159</v>
      </c>
      <c r="F7" s="10" t="s">
        <v>227</v>
      </c>
      <c r="G7" t="s">
        <v>228</v>
      </c>
      <c r="H7" t="s">
        <v>225</v>
      </c>
      <c r="I7" s="16">
        <v>190936</v>
      </c>
      <c r="J7" s="17">
        <v>100000</v>
      </c>
      <c r="K7" s="17">
        <v>21000</v>
      </c>
      <c r="L7" s="17">
        <f>K7*0.266</f>
        <v>5586</v>
      </c>
      <c r="M7" s="17">
        <f>K7+L7</f>
        <v>26586</v>
      </c>
      <c r="N7" t="s">
        <v>21</v>
      </c>
      <c r="Q7" t="s">
        <v>225</v>
      </c>
      <c r="R7" t="s">
        <v>225</v>
      </c>
      <c r="S7" t="s">
        <v>102</v>
      </c>
      <c r="T7" t="s">
        <v>164</v>
      </c>
      <c r="U7" s="19">
        <v>17305</v>
      </c>
      <c r="V7" t="s">
        <v>225</v>
      </c>
      <c r="W7" t="s">
        <v>229</v>
      </c>
    </row>
    <row r="8" spans="1:27" s="10" customFormat="1" ht="42">
      <c r="A8" s="10" t="s">
        <v>230</v>
      </c>
      <c r="B8" s="10" t="s">
        <v>33</v>
      </c>
      <c r="C8" s="21">
        <v>1</v>
      </c>
      <c r="E8" s="10" t="s">
        <v>231</v>
      </c>
      <c r="F8" s="10" t="s">
        <v>179</v>
      </c>
      <c r="G8" s="10" t="s">
        <v>180</v>
      </c>
      <c r="H8" s="10" t="s">
        <v>38</v>
      </c>
      <c r="I8" s="22">
        <v>201899</v>
      </c>
      <c r="J8" s="13">
        <v>100000</v>
      </c>
      <c r="K8" s="13">
        <f>((I8*0.75)-J8)/2</f>
        <v>25712.125</v>
      </c>
      <c r="L8" s="13">
        <f>K8*0.288</f>
        <v>7405.0919999999996</v>
      </c>
      <c r="M8" s="13">
        <f>L8+K8</f>
        <v>33117.216999999997</v>
      </c>
      <c r="N8" s="10" t="s">
        <v>23</v>
      </c>
      <c r="O8" s="10" t="s">
        <v>100</v>
      </c>
      <c r="P8" s="23">
        <f>M8/12*4</f>
        <v>11039.072333333332</v>
      </c>
      <c r="Q8" s="10" t="s">
        <v>23</v>
      </c>
      <c r="R8" s="10" t="s">
        <v>23</v>
      </c>
      <c r="S8" s="10" t="s">
        <v>102</v>
      </c>
      <c r="T8" s="10" t="s">
        <v>164</v>
      </c>
      <c r="U8" s="22">
        <v>29301.96</v>
      </c>
      <c r="V8" s="10" t="s">
        <v>21</v>
      </c>
    </row>
    <row r="9" spans="1:27" s="10" customFormat="1" ht="56.1">
      <c r="A9" s="10" t="s">
        <v>230</v>
      </c>
      <c r="B9" s="10" t="s">
        <v>37</v>
      </c>
      <c r="C9" s="21">
        <v>1</v>
      </c>
      <c r="E9" s="10" t="s">
        <v>97</v>
      </c>
      <c r="F9" s="10" t="s">
        <v>182</v>
      </c>
      <c r="G9" s="10" t="s">
        <v>183</v>
      </c>
      <c r="H9" s="10" t="s">
        <v>23</v>
      </c>
      <c r="I9" s="22">
        <v>197625</v>
      </c>
      <c r="J9" s="13">
        <v>72173.22</v>
      </c>
      <c r="K9" s="13">
        <f>((I9*0.75)-J9)/2</f>
        <v>38022.764999999999</v>
      </c>
      <c r="L9" s="13">
        <f>K9*0.288</f>
        <v>10950.55632</v>
      </c>
      <c r="M9" s="13">
        <f>L9+K9</f>
        <v>48973.321320000003</v>
      </c>
      <c r="N9" s="10" t="s">
        <v>23</v>
      </c>
      <c r="O9" s="10" t="s">
        <v>100</v>
      </c>
      <c r="P9" s="23">
        <f>M9/12*4</f>
        <v>16324.44044</v>
      </c>
      <c r="Q9" s="10" t="s">
        <v>23</v>
      </c>
      <c r="R9" s="10" t="s">
        <v>23</v>
      </c>
      <c r="S9" s="10" t="s">
        <v>102</v>
      </c>
      <c r="T9" s="10" t="s">
        <v>164</v>
      </c>
      <c r="U9" s="104">
        <v>52864.69</v>
      </c>
      <c r="V9" s="10" t="s">
        <v>21</v>
      </c>
    </row>
    <row r="10" spans="1:27" s="10" customFormat="1" ht="42">
      <c r="A10" s="10" t="s">
        <v>230</v>
      </c>
      <c r="B10" s="10" t="s">
        <v>232</v>
      </c>
      <c r="C10" s="105">
        <v>1</v>
      </c>
      <c r="D10" s="13"/>
      <c r="E10" s="13" t="s">
        <v>233</v>
      </c>
      <c r="F10" s="13" t="s">
        <v>234</v>
      </c>
      <c r="G10" s="24" t="s">
        <v>235</v>
      </c>
      <c r="H10" s="13" t="s">
        <v>38</v>
      </c>
      <c r="I10" s="106">
        <v>198000</v>
      </c>
      <c r="J10" s="13">
        <v>72173.2</v>
      </c>
      <c r="K10" s="13">
        <f>((I10*0.75)-J10)/2</f>
        <v>38163.4</v>
      </c>
      <c r="L10" s="13">
        <f>K10*0.288</f>
        <v>10991.0592</v>
      </c>
      <c r="M10" s="13">
        <f>L10+K10</f>
        <v>49154.459199999998</v>
      </c>
      <c r="N10" s="10" t="s">
        <v>23</v>
      </c>
      <c r="O10" s="10" t="s">
        <v>100</v>
      </c>
      <c r="P10" s="25">
        <f>M10/12*4</f>
        <v>16384.819733333334</v>
      </c>
      <c r="Q10" s="107" t="s">
        <v>23</v>
      </c>
      <c r="R10" s="10" t="s">
        <v>23</v>
      </c>
      <c r="S10" s="10" t="s">
        <v>118</v>
      </c>
      <c r="T10" s="10" t="s">
        <v>164</v>
      </c>
      <c r="U10" s="106">
        <v>44772</v>
      </c>
      <c r="V10" s="10" t="s">
        <v>21</v>
      </c>
    </row>
    <row r="11" spans="1:27">
      <c r="A11" s="76" t="s">
        <v>236</v>
      </c>
      <c r="B11" s="76" t="s">
        <v>74</v>
      </c>
    </row>
    <row r="20" spans="1:4">
      <c r="A20" s="109" t="s">
        <v>136</v>
      </c>
      <c r="B20" s="92"/>
      <c r="C20" s="92"/>
      <c r="D20" s="92"/>
    </row>
    <row r="21" spans="1:4">
      <c r="A21" s="109"/>
      <c r="B21" s="92"/>
      <c r="C21" s="92"/>
      <c r="D21" s="92"/>
    </row>
    <row r="22" spans="1:4">
      <c r="A22" s="110" t="s">
        <v>137</v>
      </c>
      <c r="B22" s="92"/>
      <c r="C22" s="92"/>
      <c r="D22" s="92"/>
    </row>
    <row r="23" spans="1:4">
      <c r="A23" s="110" t="s">
        <v>138</v>
      </c>
      <c r="B23" s="92"/>
      <c r="C23" s="92"/>
      <c r="D23" s="92"/>
    </row>
    <row r="24" spans="1:4">
      <c r="A24" s="110" t="s">
        <v>139</v>
      </c>
      <c r="B24" s="92"/>
      <c r="C24" s="92"/>
      <c r="D24" s="92"/>
    </row>
    <row r="25" spans="1:4">
      <c r="A25" s="110" t="s">
        <v>140</v>
      </c>
      <c r="B25" s="92"/>
      <c r="C25" s="92"/>
      <c r="D25" s="92"/>
    </row>
    <row r="26" spans="1:4">
      <c r="A26" s="110" t="s">
        <v>199</v>
      </c>
      <c r="B26" s="92"/>
      <c r="C26" s="92"/>
      <c r="D26" s="92"/>
    </row>
    <row r="27" spans="1:4">
      <c r="A27" s="110" t="s">
        <v>200</v>
      </c>
      <c r="B27" s="92"/>
      <c r="C27" s="92"/>
      <c r="D27" s="92"/>
    </row>
    <row r="28" spans="1:4">
      <c r="A28" s="110" t="s">
        <v>201</v>
      </c>
      <c r="B28" s="92"/>
      <c r="C28" s="92"/>
      <c r="D28" s="92"/>
    </row>
    <row r="29" spans="1:4">
      <c r="A29" s="110" t="s">
        <v>144</v>
      </c>
      <c r="B29" s="92"/>
      <c r="C29" s="92"/>
      <c r="D29" s="92"/>
    </row>
    <row r="30" spans="1:4">
      <c r="A30" s="110" t="s">
        <v>145</v>
      </c>
      <c r="B30" s="92"/>
      <c r="C30" s="92"/>
      <c r="D30" s="92"/>
    </row>
    <row r="31" spans="1:4">
      <c r="A31" s="109" t="s">
        <v>146</v>
      </c>
      <c r="B31" s="92"/>
      <c r="C31" s="92"/>
      <c r="D31" s="92"/>
    </row>
  </sheetData>
  <pageMargins left="0.7" right="0.7" top="0.75" bottom="0.75" header="0.3" footer="0.3"/>
  <pageSetup scale="2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35"/>
  <sheetViews>
    <sheetView workbookViewId="0">
      <selection activeCell="B6" sqref="B6"/>
    </sheetView>
  </sheetViews>
  <sheetFormatPr defaultRowHeight="14.1"/>
  <cols>
    <col min="1" max="1" width="17.125" customWidth="1"/>
    <col min="2" max="2" width="37.125" customWidth="1"/>
    <col min="3" max="3" width="18.125" customWidth="1"/>
    <col min="4" max="4" width="26.375" customWidth="1"/>
    <col min="5" max="5" width="33.875" customWidth="1"/>
    <col min="6" max="6" width="54.625" bestFit="1" customWidth="1"/>
    <col min="7" max="7" width="18" customWidth="1"/>
    <col min="8" max="8" width="18.875" customWidth="1"/>
    <col min="9" max="9" width="16.75" customWidth="1"/>
    <col min="10" max="10" width="13.875" style="17" customWidth="1"/>
    <col min="11" max="11" width="20.125" style="17" customWidth="1"/>
    <col min="12" max="12" width="17.5" customWidth="1"/>
    <col min="13" max="13" width="25.25" customWidth="1"/>
    <col min="14" max="14" width="26.25" customWidth="1"/>
    <col min="15" max="15" width="15.625" style="17" customWidth="1"/>
    <col min="16" max="16" width="16" customWidth="1"/>
    <col min="17" max="17" width="9.5" customWidth="1"/>
    <col min="18" max="18" width="20.5" customWidth="1"/>
    <col min="19" max="19" width="15.75" customWidth="1"/>
    <col min="20" max="20" width="26.625" bestFit="1" customWidth="1"/>
    <col min="21" max="21" width="25.375" customWidth="1"/>
    <col min="22" max="22" width="7.25" customWidth="1"/>
    <col min="23" max="23" width="12.25" customWidth="1"/>
    <col min="24" max="24" width="12.5" customWidth="1"/>
    <col min="25" max="25" width="17.875" customWidth="1"/>
  </cols>
  <sheetData>
    <row r="1" spans="1:25" s="9" customFormat="1" ht="104.25" customHeight="1">
      <c r="A1" s="1" t="s">
        <v>0</v>
      </c>
      <c r="B1" s="2" t="s">
        <v>1</v>
      </c>
      <c r="C1" s="3" t="s">
        <v>83</v>
      </c>
      <c r="D1" s="4" t="s">
        <v>84</v>
      </c>
      <c r="E1" s="4" t="s">
        <v>85</v>
      </c>
      <c r="F1" s="4" t="s">
        <v>86</v>
      </c>
      <c r="G1" s="4" t="s">
        <v>2</v>
      </c>
      <c r="H1" s="4" t="s">
        <v>87</v>
      </c>
      <c r="I1" s="4" t="s">
        <v>237</v>
      </c>
      <c r="J1" s="5" t="s">
        <v>4</v>
      </c>
      <c r="K1" s="5" t="s">
        <v>5</v>
      </c>
      <c r="L1" s="4" t="s">
        <v>8</v>
      </c>
      <c r="M1" s="4" t="s">
        <v>89</v>
      </c>
      <c r="N1" s="4" t="s">
        <v>90</v>
      </c>
      <c r="O1" s="4" t="s">
        <v>238</v>
      </c>
      <c r="P1" s="4" t="s">
        <v>12</v>
      </c>
      <c r="Q1" s="4" t="s">
        <v>91</v>
      </c>
      <c r="R1" s="4" t="s">
        <v>239</v>
      </c>
      <c r="S1" s="6" t="s">
        <v>93</v>
      </c>
      <c r="T1" s="6" t="s">
        <v>14</v>
      </c>
      <c r="U1" s="4" t="s">
        <v>94</v>
      </c>
      <c r="V1" s="111"/>
      <c r="W1" s="7" t="s">
        <v>15</v>
      </c>
      <c r="X1" s="8" t="s">
        <v>16</v>
      </c>
      <c r="Y1" s="8" t="s">
        <v>96</v>
      </c>
    </row>
    <row r="2" spans="1:25">
      <c r="A2" s="102" t="s">
        <v>240</v>
      </c>
      <c r="B2" s="102" t="s">
        <v>241</v>
      </c>
      <c r="C2">
        <v>1</v>
      </c>
      <c r="D2" s="17" t="s">
        <v>242</v>
      </c>
      <c r="E2" t="s">
        <v>243</v>
      </c>
      <c r="F2" s="10" t="s">
        <v>152</v>
      </c>
      <c r="G2" t="s">
        <v>153</v>
      </c>
      <c r="H2" s="17" t="s">
        <v>38</v>
      </c>
      <c r="I2" s="19">
        <v>193800</v>
      </c>
      <c r="J2" s="57">
        <v>100000</v>
      </c>
      <c r="K2" s="17">
        <f>(I2*0.75-J2)/2</f>
        <v>22675</v>
      </c>
      <c r="L2" t="s">
        <v>38</v>
      </c>
      <c r="M2" s="10" t="s">
        <v>244</v>
      </c>
      <c r="N2">
        <v>0</v>
      </c>
      <c r="O2" s="17" t="s">
        <v>38</v>
      </c>
      <c r="P2" t="s">
        <v>38</v>
      </c>
      <c r="Q2" t="s">
        <v>245</v>
      </c>
      <c r="R2" t="s">
        <v>246</v>
      </c>
      <c r="S2" t="s">
        <v>38</v>
      </c>
      <c r="T2" t="s">
        <v>246</v>
      </c>
    </row>
    <row r="3" spans="1:25" ht="27.95">
      <c r="A3" s="102" t="s">
        <v>240</v>
      </c>
      <c r="B3" s="102" t="s">
        <v>247</v>
      </c>
      <c r="C3">
        <v>1</v>
      </c>
      <c r="D3" t="s">
        <v>158</v>
      </c>
      <c r="E3" t="s">
        <v>248</v>
      </c>
      <c r="F3" s="10" t="s">
        <v>249</v>
      </c>
      <c r="G3" t="s">
        <v>250</v>
      </c>
      <c r="H3" t="s">
        <v>38</v>
      </c>
      <c r="I3" s="19">
        <v>171360</v>
      </c>
      <c r="J3" s="57">
        <v>100000</v>
      </c>
      <c r="K3" s="17">
        <f>(I3*0.75-J3)/2</f>
        <v>14260</v>
      </c>
      <c r="L3" t="s">
        <v>246</v>
      </c>
      <c r="O3" s="17" t="s">
        <v>38</v>
      </c>
      <c r="P3" t="s">
        <v>38</v>
      </c>
      <c r="Q3" t="s">
        <v>251</v>
      </c>
      <c r="R3" t="s">
        <v>246</v>
      </c>
      <c r="S3" t="s">
        <v>38</v>
      </c>
      <c r="T3" t="s">
        <v>252</v>
      </c>
    </row>
    <row r="4" spans="1:25" ht="39.75" customHeight="1">
      <c r="A4" s="102" t="s">
        <v>253</v>
      </c>
      <c r="B4" s="102" t="s">
        <v>254</v>
      </c>
      <c r="C4" s="10" t="s">
        <v>255</v>
      </c>
      <c r="D4" s="17" t="s">
        <v>158</v>
      </c>
      <c r="E4" s="17" t="s">
        <v>256</v>
      </c>
      <c r="F4" s="112" t="s">
        <v>257</v>
      </c>
      <c r="G4" s="17" t="s">
        <v>258</v>
      </c>
      <c r="H4" s="17" t="s">
        <v>38</v>
      </c>
      <c r="I4" s="113">
        <v>177000</v>
      </c>
      <c r="J4" s="57">
        <v>100000</v>
      </c>
      <c r="K4" s="13" t="s">
        <v>259</v>
      </c>
      <c r="L4" s="17" t="s">
        <v>21</v>
      </c>
      <c r="M4" s="17" t="s">
        <v>20</v>
      </c>
      <c r="N4" s="17" t="s">
        <v>20</v>
      </c>
      <c r="O4" s="17" t="s">
        <v>23</v>
      </c>
      <c r="P4" s="17" t="s">
        <v>23</v>
      </c>
      <c r="Q4" t="s">
        <v>218</v>
      </c>
      <c r="R4" t="s">
        <v>21</v>
      </c>
      <c r="S4" t="s">
        <v>260</v>
      </c>
      <c r="T4" t="s">
        <v>21</v>
      </c>
      <c r="U4" s="10" t="s">
        <v>261</v>
      </c>
    </row>
    <row r="5" spans="1:25" ht="36.75" customHeight="1">
      <c r="A5" s="102" t="s">
        <v>262</v>
      </c>
      <c r="B5" s="102" t="s">
        <v>263</v>
      </c>
      <c r="C5">
        <v>1</v>
      </c>
      <c r="D5" s="17" t="s">
        <v>158</v>
      </c>
      <c r="E5" s="17" t="s">
        <v>264</v>
      </c>
      <c r="F5" s="13" t="s">
        <v>265</v>
      </c>
      <c r="G5" s="17" t="s">
        <v>266</v>
      </c>
      <c r="H5" s="17" t="s">
        <v>38</v>
      </c>
      <c r="I5" s="114">
        <v>103224</v>
      </c>
      <c r="J5" s="57">
        <v>74236</v>
      </c>
      <c r="K5" s="17">
        <f>(I5*0.75-J5)/2</f>
        <v>1591</v>
      </c>
      <c r="L5" t="s">
        <v>38</v>
      </c>
      <c r="M5" t="s">
        <v>267</v>
      </c>
      <c r="N5" s="115">
        <v>1590</v>
      </c>
      <c r="O5" s="17" t="s">
        <v>268</v>
      </c>
      <c r="P5" t="s">
        <v>269</v>
      </c>
      <c r="Q5" t="s">
        <v>118</v>
      </c>
      <c r="R5" t="s">
        <v>246</v>
      </c>
      <c r="S5" t="s">
        <v>270</v>
      </c>
      <c r="T5" t="s">
        <v>246</v>
      </c>
      <c r="U5" t="s">
        <v>271</v>
      </c>
    </row>
    <row r="6" spans="1:25">
      <c r="A6" s="102" t="s">
        <v>262</v>
      </c>
      <c r="B6" s="102" t="s">
        <v>272</v>
      </c>
      <c r="C6">
        <v>1</v>
      </c>
      <c r="D6" t="s">
        <v>158</v>
      </c>
      <c r="E6" t="s">
        <v>273</v>
      </c>
      <c r="F6" s="10" t="s">
        <v>274</v>
      </c>
      <c r="G6" t="s">
        <v>275</v>
      </c>
      <c r="H6" t="s">
        <v>38</v>
      </c>
      <c r="I6" s="114">
        <v>193310</v>
      </c>
      <c r="J6" s="57">
        <v>100000</v>
      </c>
      <c r="K6" s="17">
        <f>(I6*0.75-J6)/2</f>
        <v>22491.25</v>
      </c>
      <c r="L6" t="s">
        <v>38</v>
      </c>
      <c r="M6" t="s">
        <v>100</v>
      </c>
      <c r="N6" s="113">
        <v>14022</v>
      </c>
      <c r="O6" s="17" t="s">
        <v>38</v>
      </c>
      <c r="P6" t="s">
        <v>38</v>
      </c>
      <c r="Q6" t="s">
        <v>118</v>
      </c>
      <c r="R6" t="s">
        <v>246</v>
      </c>
      <c r="S6" t="s">
        <v>246</v>
      </c>
      <c r="T6" t="s">
        <v>246</v>
      </c>
      <c r="U6" t="s">
        <v>271</v>
      </c>
    </row>
    <row r="7" spans="1:25" ht="30" customHeight="1">
      <c r="A7" s="102" t="s">
        <v>73</v>
      </c>
      <c r="B7" s="102" t="s">
        <v>276</v>
      </c>
      <c r="C7" s="116">
        <v>1</v>
      </c>
      <c r="D7" t="s">
        <v>158</v>
      </c>
      <c r="E7" s="102" t="s">
        <v>277</v>
      </c>
      <c r="F7" s="117" t="s">
        <v>278</v>
      </c>
      <c r="G7" s="102" t="s">
        <v>279</v>
      </c>
      <c r="H7" s="102" t="s">
        <v>38</v>
      </c>
      <c r="I7" s="57">
        <v>246317.76</v>
      </c>
      <c r="J7" s="57">
        <v>100000</v>
      </c>
      <c r="K7" s="17">
        <f>(I7*0.75-J7)/2</f>
        <v>42369.16</v>
      </c>
      <c r="L7" s="102" t="s">
        <v>23</v>
      </c>
      <c r="M7" s="10" t="s">
        <v>280</v>
      </c>
      <c r="N7" s="118">
        <v>50000</v>
      </c>
      <c r="O7" s="118" t="s">
        <v>23</v>
      </c>
      <c r="P7" s="119" t="s">
        <v>23</v>
      </c>
      <c r="Q7" s="119" t="s">
        <v>118</v>
      </c>
      <c r="R7" s="119" t="s">
        <v>21</v>
      </c>
      <c r="S7" s="119" t="s">
        <v>281</v>
      </c>
      <c r="T7" s="120" t="s">
        <v>282</v>
      </c>
    </row>
    <row r="8" spans="1:25" ht="34.5" customHeight="1">
      <c r="A8" s="121" t="s">
        <v>230</v>
      </c>
      <c r="B8" s="121" t="s">
        <v>37</v>
      </c>
      <c r="C8" s="21">
        <v>1</v>
      </c>
      <c r="D8" s="10" t="s">
        <v>158</v>
      </c>
      <c r="E8" s="10" t="s">
        <v>97</v>
      </c>
      <c r="F8" s="10" t="s">
        <v>182</v>
      </c>
      <c r="G8" s="10" t="s">
        <v>183</v>
      </c>
      <c r="H8" s="10" t="s">
        <v>38</v>
      </c>
      <c r="I8" s="19">
        <v>206678</v>
      </c>
      <c r="J8" s="13">
        <v>72173.22</v>
      </c>
      <c r="K8" s="13">
        <f>((I8*0.75)-J8)/2</f>
        <v>41417.64</v>
      </c>
      <c r="L8" s="10" t="s">
        <v>23</v>
      </c>
      <c r="M8" s="10" t="s">
        <v>100</v>
      </c>
      <c r="N8" s="13"/>
      <c r="O8" s="10" t="s">
        <v>23</v>
      </c>
      <c r="P8" s="10" t="s">
        <v>23</v>
      </c>
      <c r="Q8" s="10" t="s">
        <v>102</v>
      </c>
      <c r="R8" s="10" t="s">
        <v>21</v>
      </c>
      <c r="S8" s="13">
        <v>48973.321320000003</v>
      </c>
      <c r="T8" s="23" t="s">
        <v>21</v>
      </c>
      <c r="U8" s="10"/>
      <c r="V8" s="10"/>
      <c r="W8" s="10"/>
      <c r="X8" s="10"/>
    </row>
    <row r="9" spans="1:25" ht="27.95">
      <c r="A9" s="121" t="s">
        <v>230</v>
      </c>
      <c r="B9" s="121" t="s">
        <v>232</v>
      </c>
      <c r="C9" s="105">
        <v>1</v>
      </c>
      <c r="D9" s="13" t="s">
        <v>158</v>
      </c>
      <c r="E9" s="13" t="s">
        <v>233</v>
      </c>
      <c r="F9" s="13" t="s">
        <v>234</v>
      </c>
      <c r="G9" s="24" t="s">
        <v>235</v>
      </c>
      <c r="H9" s="13" t="s">
        <v>38</v>
      </c>
      <c r="I9" s="19">
        <v>207872</v>
      </c>
      <c r="J9" s="13">
        <v>72173.2</v>
      </c>
      <c r="K9" s="13">
        <f>((I9*0.75)-J9)/2</f>
        <v>41865.4</v>
      </c>
      <c r="L9" s="13" t="s">
        <v>38</v>
      </c>
      <c r="M9" s="10" t="s">
        <v>100</v>
      </c>
      <c r="N9" s="13"/>
      <c r="O9" s="10" t="s">
        <v>23</v>
      </c>
      <c r="P9" s="10" t="s">
        <v>23</v>
      </c>
      <c r="Q9" s="10" t="s">
        <v>118</v>
      </c>
      <c r="R9" s="10" t="s">
        <v>21</v>
      </c>
      <c r="S9" s="13">
        <v>49154.459199999998</v>
      </c>
      <c r="T9" s="23" t="s">
        <v>21</v>
      </c>
      <c r="U9" s="10"/>
      <c r="V9" s="10"/>
      <c r="W9" s="10"/>
      <c r="X9" s="10"/>
    </row>
    <row r="10" spans="1:25" ht="27.95">
      <c r="A10" s="121" t="s">
        <v>230</v>
      </c>
      <c r="B10" s="121" t="s">
        <v>185</v>
      </c>
      <c r="C10" s="105">
        <v>1</v>
      </c>
      <c r="D10" s="13" t="s">
        <v>158</v>
      </c>
      <c r="E10" s="13" t="s">
        <v>186</v>
      </c>
      <c r="F10" s="13" t="s">
        <v>283</v>
      </c>
      <c r="G10" s="24" t="s">
        <v>284</v>
      </c>
      <c r="H10" s="13" t="s">
        <v>38</v>
      </c>
      <c r="I10" s="19">
        <v>224726</v>
      </c>
      <c r="J10" s="13">
        <v>72173.2</v>
      </c>
      <c r="K10" s="13">
        <f>((I10*0.75)-J10)/2</f>
        <v>48185.65</v>
      </c>
      <c r="L10" s="13" t="s">
        <v>21</v>
      </c>
      <c r="M10" s="10" t="s">
        <v>20</v>
      </c>
      <c r="N10" s="13"/>
      <c r="O10" s="10" t="s">
        <v>23</v>
      </c>
      <c r="P10" s="10" t="s">
        <v>23</v>
      </c>
      <c r="Q10" s="10" t="s">
        <v>102</v>
      </c>
      <c r="R10" s="10" t="s">
        <v>21</v>
      </c>
      <c r="S10" s="10" t="s">
        <v>21</v>
      </c>
      <c r="T10" s="25" t="s">
        <v>21</v>
      </c>
      <c r="U10" s="10"/>
      <c r="V10" s="10"/>
      <c r="W10" s="10"/>
      <c r="X10" s="10"/>
    </row>
    <row r="11" spans="1:25">
      <c r="A11" t="s">
        <v>62</v>
      </c>
      <c r="B11" t="s">
        <v>285</v>
      </c>
      <c r="C11">
        <v>1</v>
      </c>
      <c r="D11" s="17" t="s">
        <v>62</v>
      </c>
      <c r="E11" s="17" t="s">
        <v>286</v>
      </c>
      <c r="F11" s="17" t="s">
        <v>216</v>
      </c>
      <c r="G11" s="17" t="s">
        <v>217</v>
      </c>
      <c r="H11" s="17" t="s">
        <v>162</v>
      </c>
      <c r="I11" s="17">
        <v>177000</v>
      </c>
      <c r="J11" s="17">
        <v>100000</v>
      </c>
      <c r="K11" s="17">
        <f>(I11*0.75-J11)/2</f>
        <v>16375</v>
      </c>
      <c r="L11" t="s">
        <v>162</v>
      </c>
      <c r="M11" t="s">
        <v>287</v>
      </c>
      <c r="N11" s="31">
        <v>0</v>
      </c>
      <c r="O11" s="17" t="s">
        <v>162</v>
      </c>
      <c r="P11" t="s">
        <v>162</v>
      </c>
      <c r="Q11" t="s">
        <v>218</v>
      </c>
      <c r="R11" t="s">
        <v>162</v>
      </c>
      <c r="S11" t="s">
        <v>162</v>
      </c>
      <c r="T11" t="s">
        <v>288</v>
      </c>
      <c r="U11" t="s">
        <v>289</v>
      </c>
    </row>
    <row r="12" spans="1:25">
      <c r="A12" t="s">
        <v>62</v>
      </c>
      <c r="B12" t="s">
        <v>290</v>
      </c>
      <c r="C12">
        <v>1</v>
      </c>
      <c r="D12" t="s">
        <v>62</v>
      </c>
      <c r="E12" t="s">
        <v>291</v>
      </c>
      <c r="F12" t="s">
        <v>292</v>
      </c>
      <c r="G12" t="s">
        <v>293</v>
      </c>
      <c r="H12" t="s">
        <v>162</v>
      </c>
      <c r="I12" s="17">
        <v>215000</v>
      </c>
      <c r="J12" s="17">
        <f>189600*0.5</f>
        <v>94800</v>
      </c>
      <c r="K12" s="17">
        <f>(I12*0.5-J12)/2</f>
        <v>6350</v>
      </c>
      <c r="L12" t="s">
        <v>162</v>
      </c>
      <c r="M12" t="s">
        <v>294</v>
      </c>
      <c r="N12" s="31">
        <v>0</v>
      </c>
      <c r="O12" s="17" t="s">
        <v>164</v>
      </c>
      <c r="P12" t="s">
        <v>162</v>
      </c>
      <c r="Q12" t="s">
        <v>212</v>
      </c>
      <c r="R12" t="s">
        <v>164</v>
      </c>
      <c r="S12" t="s">
        <v>164</v>
      </c>
      <c r="T12" t="s">
        <v>295</v>
      </c>
      <c r="U12" t="s">
        <v>296</v>
      </c>
    </row>
    <row r="24" spans="1:4" ht="18">
      <c r="A24" s="33" t="s">
        <v>136</v>
      </c>
      <c r="B24" s="34"/>
      <c r="C24" s="34"/>
      <c r="D24" s="34"/>
    </row>
    <row r="25" spans="1:4" ht="18">
      <c r="A25" s="33"/>
      <c r="B25" s="34"/>
      <c r="C25" s="34"/>
      <c r="D25" s="34"/>
    </row>
    <row r="26" spans="1:4">
      <c r="A26" s="35" t="s">
        <v>137</v>
      </c>
      <c r="B26" s="34"/>
      <c r="C26" s="34"/>
      <c r="D26" s="34"/>
    </row>
    <row r="27" spans="1:4">
      <c r="A27" s="35" t="s">
        <v>138</v>
      </c>
      <c r="B27" s="34"/>
      <c r="C27" s="34"/>
      <c r="D27" s="34"/>
    </row>
    <row r="28" spans="1:4">
      <c r="A28" s="35" t="s">
        <v>139</v>
      </c>
      <c r="B28" s="34"/>
      <c r="C28" s="34"/>
      <c r="D28" s="34"/>
    </row>
    <row r="29" spans="1:4">
      <c r="A29" s="35" t="s">
        <v>140</v>
      </c>
      <c r="B29" s="34"/>
      <c r="C29" s="34"/>
      <c r="D29" s="34"/>
    </row>
    <row r="30" spans="1:4">
      <c r="A30" s="35" t="s">
        <v>141</v>
      </c>
      <c r="B30" s="34"/>
      <c r="C30" s="34"/>
      <c r="D30" s="34"/>
    </row>
    <row r="31" spans="1:4">
      <c r="A31" s="35" t="s">
        <v>142</v>
      </c>
      <c r="B31" s="34"/>
      <c r="C31" s="34"/>
      <c r="D31" s="34"/>
    </row>
    <row r="32" spans="1:4">
      <c r="A32" s="35" t="s">
        <v>297</v>
      </c>
      <c r="B32" s="34"/>
      <c r="C32" s="34"/>
      <c r="D32" s="34"/>
    </row>
    <row r="33" spans="1:4">
      <c r="A33" s="35" t="s">
        <v>144</v>
      </c>
      <c r="B33" s="34"/>
      <c r="C33" s="34"/>
      <c r="D33" s="34"/>
    </row>
    <row r="34" spans="1:4">
      <c r="A34" s="35" t="s">
        <v>145</v>
      </c>
      <c r="B34" s="34"/>
      <c r="C34" s="34"/>
      <c r="D34" s="34"/>
    </row>
    <row r="35" spans="1:4">
      <c r="A35" s="36" t="s">
        <v>146</v>
      </c>
      <c r="B35" s="34"/>
      <c r="C35" s="34"/>
      <c r="D35" s="34"/>
    </row>
  </sheetData>
  <autoFilter ref="L1:L10" xr:uid="{00000000-0009-0000-0000-000004000000}"/>
  <printOptions gridLines="1"/>
  <pageMargins left="0.25" right="0.25" top="0.75" bottom="0.75" header="0.3" footer="0.3"/>
  <pageSetup scale="2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9"/>
  <sheetViews>
    <sheetView workbookViewId="0">
      <selection activeCell="D7" sqref="D7"/>
    </sheetView>
  </sheetViews>
  <sheetFormatPr defaultRowHeight="14.1"/>
  <cols>
    <col min="1" max="1" width="17.125" customWidth="1"/>
    <col min="2" max="2" width="26" bestFit="1" customWidth="1"/>
    <col min="3" max="3" width="12.75" customWidth="1"/>
    <col min="4" max="4" width="26.375" customWidth="1"/>
    <col min="5" max="5" width="39.25" customWidth="1"/>
    <col min="6" max="6" width="38" customWidth="1"/>
    <col min="7" max="7" width="16.375" customWidth="1"/>
    <col min="8" max="8" width="18.875" customWidth="1"/>
    <col min="9" max="9" width="16.75" customWidth="1"/>
    <col min="10" max="10" width="13.875" style="17" customWidth="1"/>
    <col min="11" max="11" width="20.125" style="17" customWidth="1"/>
    <col min="12" max="12" width="17.5" customWidth="1"/>
    <col min="13" max="13" width="25.25" customWidth="1"/>
    <col min="14" max="14" width="26.25" customWidth="1"/>
    <col min="15" max="15" width="15.625" style="17" customWidth="1"/>
    <col min="16" max="16" width="16" customWidth="1"/>
    <col min="17" max="17" width="9.5" customWidth="1"/>
    <col min="18" max="18" width="20.5" customWidth="1"/>
    <col min="19" max="19" width="15.75" customWidth="1"/>
    <col min="20" max="20" width="18.5" customWidth="1"/>
    <col min="21" max="21" width="31" bestFit="1" customWidth="1"/>
    <col min="22" max="22" width="7.25" customWidth="1"/>
    <col min="23" max="23" width="12.25" customWidth="1"/>
    <col min="24" max="24" width="12.5" customWidth="1"/>
    <col min="25" max="25" width="17.875" customWidth="1"/>
  </cols>
  <sheetData>
    <row r="1" spans="1:25" s="9" customFormat="1" ht="104.25" customHeight="1">
      <c r="A1" s="1" t="s">
        <v>0</v>
      </c>
      <c r="B1" s="2" t="s">
        <v>1</v>
      </c>
      <c r="C1" s="3" t="s">
        <v>83</v>
      </c>
      <c r="D1" s="4" t="s">
        <v>84</v>
      </c>
      <c r="E1" s="4" t="s">
        <v>85</v>
      </c>
      <c r="F1" s="4" t="s">
        <v>86</v>
      </c>
      <c r="G1" s="4" t="s">
        <v>2</v>
      </c>
      <c r="H1" s="4" t="s">
        <v>87</v>
      </c>
      <c r="I1" s="4" t="s">
        <v>298</v>
      </c>
      <c r="J1" s="5" t="s">
        <v>4</v>
      </c>
      <c r="K1" s="5" t="s">
        <v>5</v>
      </c>
      <c r="L1" s="4" t="s">
        <v>8</v>
      </c>
      <c r="M1" s="4" t="s">
        <v>89</v>
      </c>
      <c r="N1" s="4" t="s">
        <v>90</v>
      </c>
      <c r="O1" s="4" t="s">
        <v>238</v>
      </c>
      <c r="P1" s="4" t="s">
        <v>12</v>
      </c>
      <c r="Q1" s="4" t="s">
        <v>91</v>
      </c>
      <c r="R1" s="4" t="s">
        <v>239</v>
      </c>
      <c r="S1" s="6" t="s">
        <v>93</v>
      </c>
      <c r="T1" s="6" t="s">
        <v>14</v>
      </c>
      <c r="U1" s="4" t="s">
        <v>94</v>
      </c>
      <c r="V1" s="111"/>
      <c r="W1" s="7" t="s">
        <v>15</v>
      </c>
      <c r="X1" s="8" t="s">
        <v>16</v>
      </c>
      <c r="Y1" s="8" t="s">
        <v>96</v>
      </c>
    </row>
    <row r="2" spans="1:25">
      <c r="A2" s="76" t="s">
        <v>262</v>
      </c>
      <c r="B2" s="76" t="s">
        <v>299</v>
      </c>
      <c r="C2" s="76">
        <v>1</v>
      </c>
      <c r="D2" s="76" t="s">
        <v>300</v>
      </c>
      <c r="E2" s="76" t="s">
        <v>301</v>
      </c>
      <c r="F2" s="122" t="s">
        <v>302</v>
      </c>
      <c r="G2" s="76" t="s">
        <v>303</v>
      </c>
      <c r="H2" s="76" t="s">
        <v>38</v>
      </c>
      <c r="I2" s="123">
        <v>186000</v>
      </c>
      <c r="J2" s="108">
        <v>49065</v>
      </c>
      <c r="K2" s="108">
        <v>45217.5</v>
      </c>
      <c r="L2" s="76" t="s">
        <v>246</v>
      </c>
      <c r="M2" s="76" t="s">
        <v>268</v>
      </c>
      <c r="N2" s="76" t="s">
        <v>268</v>
      </c>
      <c r="O2" s="108" t="s">
        <v>38</v>
      </c>
      <c r="P2" s="76" t="s">
        <v>38</v>
      </c>
      <c r="Q2" s="76" t="s">
        <v>118</v>
      </c>
      <c r="R2" s="76" t="s">
        <v>304</v>
      </c>
      <c r="S2" s="76" t="s">
        <v>246</v>
      </c>
      <c r="T2" s="76" t="s">
        <v>246</v>
      </c>
      <c r="U2" s="76"/>
      <c r="V2" s="76"/>
      <c r="W2" s="76"/>
      <c r="X2" s="76"/>
    </row>
    <row r="3" spans="1:25">
      <c r="A3" s="76" t="s">
        <v>305</v>
      </c>
      <c r="B3" s="76" t="s">
        <v>19</v>
      </c>
      <c r="C3" s="76">
        <v>0.75</v>
      </c>
      <c r="D3" s="76" t="s">
        <v>158</v>
      </c>
      <c r="E3" s="76" t="s">
        <v>202</v>
      </c>
      <c r="F3" s="76" t="s">
        <v>192</v>
      </c>
      <c r="G3" s="76" t="s">
        <v>306</v>
      </c>
      <c r="H3" s="76" t="s">
        <v>23</v>
      </c>
      <c r="I3" s="123">
        <v>200277</v>
      </c>
      <c r="J3" s="108">
        <v>100000</v>
      </c>
      <c r="K3" s="108">
        <v>25103.88</v>
      </c>
      <c r="L3" s="76" t="s">
        <v>23</v>
      </c>
      <c r="M3" s="76" t="s">
        <v>307</v>
      </c>
      <c r="N3" s="76" t="s">
        <v>308</v>
      </c>
      <c r="O3" s="108" t="s">
        <v>23</v>
      </c>
      <c r="P3" s="76" t="s">
        <v>23</v>
      </c>
      <c r="Q3" s="76" t="s">
        <v>118</v>
      </c>
      <c r="R3" s="76" t="s">
        <v>21</v>
      </c>
      <c r="S3" s="108">
        <v>14187.8</v>
      </c>
      <c r="T3" s="76" t="s">
        <v>309</v>
      </c>
      <c r="U3" s="76"/>
      <c r="V3" s="76"/>
      <c r="W3" s="76"/>
      <c r="X3" s="76"/>
    </row>
    <row r="4" spans="1:25" ht="27.95">
      <c r="A4" s="124" t="s">
        <v>310</v>
      </c>
      <c r="B4" s="124" t="s">
        <v>311</v>
      </c>
      <c r="C4" s="124">
        <v>1</v>
      </c>
      <c r="D4" s="125" t="s">
        <v>312</v>
      </c>
      <c r="E4" s="125" t="s">
        <v>313</v>
      </c>
      <c r="F4" s="126" t="s">
        <v>314</v>
      </c>
      <c r="G4" s="125" t="s">
        <v>315</v>
      </c>
      <c r="H4" s="125" t="s">
        <v>38</v>
      </c>
      <c r="I4" s="127">
        <v>130000</v>
      </c>
      <c r="J4" s="125">
        <v>90000</v>
      </c>
      <c r="K4" s="125">
        <f>(I4*1-J4)/2</f>
        <v>20000</v>
      </c>
      <c r="L4" s="124" t="s">
        <v>246</v>
      </c>
      <c r="M4" s="124" t="s">
        <v>189</v>
      </c>
      <c r="N4" s="124" t="s">
        <v>189</v>
      </c>
      <c r="O4" s="125" t="s">
        <v>189</v>
      </c>
      <c r="P4" s="124" t="s">
        <v>38</v>
      </c>
      <c r="Q4" s="124" t="s">
        <v>212</v>
      </c>
      <c r="R4" s="124" t="s">
        <v>21</v>
      </c>
      <c r="S4" s="124" t="s">
        <v>21</v>
      </c>
      <c r="T4" s="124" t="s">
        <v>21</v>
      </c>
      <c r="U4" s="124" t="s">
        <v>316</v>
      </c>
      <c r="V4" s="76"/>
      <c r="W4" s="76"/>
      <c r="X4" s="76"/>
    </row>
    <row r="5" spans="1:25">
      <c r="A5" s="76" t="s">
        <v>40</v>
      </c>
      <c r="B5" s="76" t="s">
        <v>241</v>
      </c>
      <c r="C5" s="76">
        <v>1</v>
      </c>
      <c r="D5" s="108" t="s">
        <v>158</v>
      </c>
      <c r="E5" s="76" t="s">
        <v>243</v>
      </c>
      <c r="F5" s="122" t="s">
        <v>152</v>
      </c>
      <c r="G5" s="76" t="s">
        <v>153</v>
      </c>
      <c r="H5" s="108" t="s">
        <v>38</v>
      </c>
      <c r="I5" s="128">
        <v>193800</v>
      </c>
      <c r="J5" s="108">
        <v>100000</v>
      </c>
      <c r="K5" s="108">
        <f>(I5*0.75-J5)/2</f>
        <v>22675</v>
      </c>
      <c r="L5" s="76" t="s">
        <v>38</v>
      </c>
      <c r="M5" s="122" t="s">
        <v>244</v>
      </c>
      <c r="N5" s="76">
        <v>0</v>
      </c>
      <c r="O5" s="108" t="s">
        <v>38</v>
      </c>
      <c r="P5" s="76" t="s">
        <v>38</v>
      </c>
      <c r="Q5" s="76" t="s">
        <v>245</v>
      </c>
      <c r="R5" s="76" t="s">
        <v>246</v>
      </c>
      <c r="S5" s="76" t="s">
        <v>38</v>
      </c>
      <c r="T5" s="76" t="s">
        <v>246</v>
      </c>
      <c r="U5" s="76"/>
      <c r="V5" s="76"/>
      <c r="W5" s="76"/>
      <c r="X5" s="76"/>
    </row>
    <row r="6" spans="1:25" ht="56.1">
      <c r="A6" s="76" t="s">
        <v>40</v>
      </c>
      <c r="B6" s="76" t="s">
        <v>247</v>
      </c>
      <c r="C6" s="76">
        <v>1</v>
      </c>
      <c r="D6" s="76" t="s">
        <v>158</v>
      </c>
      <c r="E6" s="76" t="s">
        <v>248</v>
      </c>
      <c r="F6" s="122" t="s">
        <v>249</v>
      </c>
      <c r="G6" s="76" t="s">
        <v>250</v>
      </c>
      <c r="H6" s="76" t="s">
        <v>38</v>
      </c>
      <c r="I6" s="128">
        <v>168000</v>
      </c>
      <c r="J6" s="108">
        <v>100000</v>
      </c>
      <c r="K6" s="108">
        <f>(I6*0.75-J6)/2</f>
        <v>13000</v>
      </c>
      <c r="L6" s="76" t="s">
        <v>246</v>
      </c>
      <c r="M6" s="76"/>
      <c r="N6" s="76"/>
      <c r="O6" s="108" t="s">
        <v>38</v>
      </c>
      <c r="P6" s="76" t="s">
        <v>38</v>
      </c>
      <c r="Q6" s="76" t="s">
        <v>251</v>
      </c>
      <c r="R6" s="76" t="s">
        <v>246</v>
      </c>
      <c r="S6" s="76" t="s">
        <v>38</v>
      </c>
      <c r="T6" s="122" t="s">
        <v>317</v>
      </c>
      <c r="U6" s="76"/>
      <c r="V6" s="76"/>
      <c r="W6" s="76"/>
      <c r="X6" s="76"/>
    </row>
    <row r="7" spans="1:25" ht="42">
      <c r="A7" s="76" t="s">
        <v>318</v>
      </c>
      <c r="B7" s="76" t="s">
        <v>254</v>
      </c>
      <c r="C7" s="76">
        <v>1</v>
      </c>
      <c r="D7" s="76" t="s">
        <v>242</v>
      </c>
      <c r="E7" s="76" t="s">
        <v>319</v>
      </c>
      <c r="F7" s="122" t="s">
        <v>257</v>
      </c>
      <c r="G7" s="76" t="s">
        <v>320</v>
      </c>
      <c r="H7" s="76" t="s">
        <v>38</v>
      </c>
      <c r="I7" s="129">
        <v>177000</v>
      </c>
      <c r="J7" s="108">
        <v>121000</v>
      </c>
      <c r="K7" s="108">
        <v>5875</v>
      </c>
      <c r="L7" s="76" t="s">
        <v>23</v>
      </c>
      <c r="M7" s="76" t="s">
        <v>321</v>
      </c>
      <c r="N7" s="76">
        <v>0</v>
      </c>
      <c r="O7" s="108" t="s">
        <v>23</v>
      </c>
      <c r="P7" s="76" t="s">
        <v>23</v>
      </c>
      <c r="Q7" s="76" t="s">
        <v>218</v>
      </c>
      <c r="R7" s="76" t="s">
        <v>21</v>
      </c>
      <c r="S7" s="123">
        <v>206380</v>
      </c>
      <c r="T7" s="76" t="s">
        <v>21</v>
      </c>
      <c r="U7" s="76"/>
      <c r="V7" s="76"/>
      <c r="W7" s="76"/>
      <c r="X7" s="76"/>
    </row>
    <row r="8" spans="1:25" s="130" customFormat="1" ht="42">
      <c r="A8" s="76" t="s">
        <v>322</v>
      </c>
      <c r="B8" s="76" t="s">
        <v>323</v>
      </c>
      <c r="C8" s="76">
        <v>1</v>
      </c>
      <c r="D8" s="76" t="s">
        <v>242</v>
      </c>
      <c r="E8" s="76" t="s">
        <v>324</v>
      </c>
      <c r="F8" s="122" t="s">
        <v>325</v>
      </c>
      <c r="G8" s="76" t="s">
        <v>326</v>
      </c>
      <c r="H8" s="76" t="s">
        <v>38</v>
      </c>
      <c r="I8" s="76">
        <v>195000</v>
      </c>
      <c r="J8" s="108">
        <v>100000</v>
      </c>
      <c r="K8" s="108">
        <v>23125</v>
      </c>
      <c r="L8" s="76" t="s">
        <v>38</v>
      </c>
      <c r="M8" s="76" t="s">
        <v>327</v>
      </c>
      <c r="N8" s="76">
        <v>269682</v>
      </c>
      <c r="O8" s="108" t="s">
        <v>38</v>
      </c>
      <c r="P8" s="76" t="s">
        <v>38</v>
      </c>
      <c r="Q8" s="76" t="s">
        <v>118</v>
      </c>
      <c r="R8" s="76" t="s">
        <v>38</v>
      </c>
      <c r="S8" s="76" t="s">
        <v>246</v>
      </c>
      <c r="T8" s="76" t="s">
        <v>246</v>
      </c>
      <c r="U8" s="76"/>
      <c r="V8" s="76"/>
      <c r="W8" s="76"/>
      <c r="X8" s="76"/>
    </row>
    <row r="9" spans="1:25" s="76" customFormat="1" ht="42">
      <c r="A9" s="76" t="s">
        <v>73</v>
      </c>
      <c r="B9" s="76" t="s">
        <v>276</v>
      </c>
      <c r="C9" s="76">
        <v>1</v>
      </c>
      <c r="D9" s="76" t="s">
        <v>158</v>
      </c>
      <c r="E9" s="76" t="s">
        <v>277</v>
      </c>
      <c r="F9" s="131" t="s">
        <v>278</v>
      </c>
      <c r="G9" s="76" t="s">
        <v>279</v>
      </c>
      <c r="H9" s="76" t="s">
        <v>38</v>
      </c>
      <c r="I9" s="123">
        <v>246318</v>
      </c>
      <c r="J9" s="123">
        <v>130720.92</v>
      </c>
      <c r="K9" s="123">
        <f>(I9*0.75-J9)/2</f>
        <v>27008.79</v>
      </c>
      <c r="L9" s="76" t="s">
        <v>23</v>
      </c>
      <c r="M9" s="122" t="s">
        <v>280</v>
      </c>
      <c r="N9" s="108">
        <v>22159.9</v>
      </c>
      <c r="O9" s="108" t="s">
        <v>23</v>
      </c>
      <c r="P9" s="76" t="s">
        <v>23</v>
      </c>
      <c r="Q9" s="76" t="s">
        <v>118</v>
      </c>
      <c r="R9" s="76" t="s">
        <v>21</v>
      </c>
      <c r="S9" s="128">
        <v>49141.69</v>
      </c>
      <c r="T9" s="122" t="s">
        <v>328</v>
      </c>
      <c r="U9" s="122" t="s">
        <v>329</v>
      </c>
    </row>
    <row r="10" spans="1:25" s="76" customFormat="1" ht="27.95">
      <c r="A10" s="122" t="s">
        <v>230</v>
      </c>
      <c r="B10" s="122" t="s">
        <v>232</v>
      </c>
      <c r="C10" s="132">
        <v>1</v>
      </c>
      <c r="D10" s="133" t="s">
        <v>158</v>
      </c>
      <c r="E10" s="133" t="s">
        <v>233</v>
      </c>
      <c r="F10" s="133" t="s">
        <v>234</v>
      </c>
      <c r="G10" s="134" t="s">
        <v>235</v>
      </c>
      <c r="H10" s="133" t="s">
        <v>38</v>
      </c>
      <c r="I10" s="128">
        <v>207872</v>
      </c>
      <c r="J10" s="133">
        <v>71428.570000000007</v>
      </c>
      <c r="K10" s="133">
        <f>((I10*0.75)-J10)/2</f>
        <v>42237.714999999997</v>
      </c>
      <c r="L10" s="133" t="s">
        <v>38</v>
      </c>
      <c r="M10" s="122" t="s">
        <v>100</v>
      </c>
      <c r="N10" s="128">
        <v>1486.94</v>
      </c>
      <c r="O10" s="122" t="s">
        <v>23</v>
      </c>
      <c r="P10" s="122" t="s">
        <v>23</v>
      </c>
      <c r="Q10" s="122" t="s">
        <v>118</v>
      </c>
      <c r="R10" s="122" t="s">
        <v>21</v>
      </c>
      <c r="S10" s="133">
        <v>32896.22</v>
      </c>
      <c r="T10" s="135" t="s">
        <v>21</v>
      </c>
    </row>
    <row r="11" spans="1:25" s="76" customFormat="1" ht="42">
      <c r="A11" s="122" t="s">
        <v>230</v>
      </c>
      <c r="B11" s="122" t="s">
        <v>185</v>
      </c>
      <c r="C11" s="132">
        <v>1</v>
      </c>
      <c r="D11" s="133" t="s">
        <v>158</v>
      </c>
      <c r="E11" s="133" t="s">
        <v>330</v>
      </c>
      <c r="F11" s="133" t="s">
        <v>331</v>
      </c>
      <c r="G11" s="134" t="s">
        <v>332</v>
      </c>
      <c r="H11" s="133" t="s">
        <v>38</v>
      </c>
      <c r="I11" s="128">
        <v>224726</v>
      </c>
      <c r="J11" s="133">
        <v>100000</v>
      </c>
      <c r="K11" s="133">
        <f>((I11*0.75)-J11)/2</f>
        <v>34272.25</v>
      </c>
      <c r="L11" s="133" t="s">
        <v>23</v>
      </c>
      <c r="M11" s="122" t="s">
        <v>100</v>
      </c>
      <c r="N11" s="133">
        <v>0</v>
      </c>
      <c r="O11" s="122" t="s">
        <v>23</v>
      </c>
      <c r="P11" s="122" t="s">
        <v>23</v>
      </c>
      <c r="Q11" s="122" t="s">
        <v>102</v>
      </c>
      <c r="R11" s="122" t="s">
        <v>21</v>
      </c>
      <c r="S11" s="133">
        <v>41296.92</v>
      </c>
      <c r="T11" s="135" t="s">
        <v>21</v>
      </c>
      <c r="U11" s="122"/>
      <c r="V11" s="122"/>
      <c r="W11" s="122"/>
      <c r="X11" s="122"/>
      <c r="Y11" s="136"/>
    </row>
    <row r="12" spans="1:25" s="76" customFormat="1" ht="27.95">
      <c r="A12" s="76" t="s">
        <v>333</v>
      </c>
      <c r="B12" s="76" t="s">
        <v>285</v>
      </c>
      <c r="C12" s="76">
        <v>1</v>
      </c>
      <c r="D12" s="108" t="s">
        <v>158</v>
      </c>
      <c r="E12" s="108" t="s">
        <v>334</v>
      </c>
      <c r="F12" s="133" t="s">
        <v>216</v>
      </c>
      <c r="G12" s="108" t="s">
        <v>335</v>
      </c>
      <c r="H12" s="108" t="s">
        <v>162</v>
      </c>
      <c r="I12" s="76">
        <v>177000</v>
      </c>
      <c r="J12" s="108">
        <v>100000</v>
      </c>
      <c r="K12" s="108">
        <f>(I12-J12)/2</f>
        <v>38500</v>
      </c>
      <c r="L12" s="76" t="s">
        <v>162</v>
      </c>
      <c r="M12" s="76" t="s">
        <v>336</v>
      </c>
      <c r="O12" s="108" t="s">
        <v>162</v>
      </c>
      <c r="P12" s="76" t="s">
        <v>162</v>
      </c>
      <c r="Q12" s="76" t="s">
        <v>118</v>
      </c>
      <c r="R12" s="76" t="s">
        <v>337</v>
      </c>
      <c r="S12" s="76">
        <v>17301.63</v>
      </c>
      <c r="T12" s="76" t="s">
        <v>164</v>
      </c>
    </row>
    <row r="13" spans="1:25" ht="42">
      <c r="A13" s="76" t="s">
        <v>62</v>
      </c>
      <c r="B13" s="76" t="s">
        <v>338</v>
      </c>
      <c r="C13" s="76">
        <v>1</v>
      </c>
      <c r="D13" s="108" t="s">
        <v>158</v>
      </c>
      <c r="E13" s="108" t="s">
        <v>339</v>
      </c>
      <c r="F13" s="133" t="s">
        <v>340</v>
      </c>
      <c r="G13" s="108" t="s">
        <v>341</v>
      </c>
      <c r="H13" s="108" t="s">
        <v>162</v>
      </c>
      <c r="I13" s="108">
        <v>173000</v>
      </c>
      <c r="J13" s="108">
        <v>90000</v>
      </c>
      <c r="K13" s="108">
        <f>(I13-J13)/2</f>
        <v>41500</v>
      </c>
      <c r="L13" s="76" t="s">
        <v>162</v>
      </c>
      <c r="M13" s="76" t="s">
        <v>342</v>
      </c>
      <c r="N13" s="122" t="s">
        <v>343</v>
      </c>
      <c r="O13" s="108" t="s">
        <v>162</v>
      </c>
      <c r="P13" s="76" t="s">
        <v>162</v>
      </c>
      <c r="Q13" s="76" t="s">
        <v>102</v>
      </c>
      <c r="R13" s="76" t="s">
        <v>164</v>
      </c>
      <c r="S13" s="76" t="s">
        <v>164</v>
      </c>
      <c r="T13" s="76" t="s">
        <v>164</v>
      </c>
      <c r="U13" s="122" t="s">
        <v>344</v>
      </c>
      <c r="V13" s="76"/>
      <c r="W13" s="76"/>
      <c r="X13" s="76"/>
      <c r="Y13" s="76"/>
    </row>
    <row r="18" spans="1:4" ht="18">
      <c r="A18" s="33" t="s">
        <v>136</v>
      </c>
      <c r="B18" s="34"/>
      <c r="C18" s="34"/>
      <c r="D18" s="34"/>
    </row>
    <row r="19" spans="1:4" ht="18">
      <c r="A19" s="33"/>
      <c r="B19" s="34"/>
      <c r="C19" s="34"/>
      <c r="D19" s="34"/>
    </row>
    <row r="20" spans="1:4">
      <c r="A20" s="35" t="s">
        <v>137</v>
      </c>
      <c r="B20" s="34"/>
      <c r="C20" s="34"/>
      <c r="D20" s="34"/>
    </row>
    <row r="21" spans="1:4">
      <c r="A21" s="35" t="s">
        <v>138</v>
      </c>
      <c r="B21" s="34"/>
      <c r="C21" s="34"/>
      <c r="D21" s="34"/>
    </row>
    <row r="22" spans="1:4">
      <c r="A22" s="35" t="s">
        <v>139</v>
      </c>
      <c r="B22" s="34"/>
      <c r="C22" s="34"/>
      <c r="D22" s="34"/>
    </row>
    <row r="23" spans="1:4">
      <c r="A23" s="35" t="s">
        <v>140</v>
      </c>
      <c r="B23" s="34"/>
      <c r="C23" s="34"/>
      <c r="D23" s="34"/>
    </row>
    <row r="24" spans="1:4">
      <c r="A24" s="35" t="s">
        <v>141</v>
      </c>
      <c r="B24" s="34"/>
      <c r="C24" s="34"/>
      <c r="D24" s="34"/>
    </row>
    <row r="25" spans="1:4">
      <c r="A25" s="35" t="s">
        <v>345</v>
      </c>
      <c r="B25" s="34"/>
      <c r="C25" s="34"/>
      <c r="D25" s="34"/>
    </row>
    <row r="26" spans="1:4">
      <c r="A26" s="35" t="s">
        <v>346</v>
      </c>
      <c r="B26" s="34"/>
      <c r="C26" s="34"/>
      <c r="D26" s="34"/>
    </row>
    <row r="27" spans="1:4">
      <c r="A27" s="35" t="s">
        <v>144</v>
      </c>
      <c r="B27" s="34"/>
      <c r="C27" s="34"/>
      <c r="D27" s="34"/>
    </row>
    <row r="28" spans="1:4">
      <c r="A28" s="35" t="s">
        <v>145</v>
      </c>
      <c r="B28" s="34"/>
      <c r="C28" s="34"/>
      <c r="D28" s="34"/>
    </row>
    <row r="29" spans="1:4">
      <c r="A29" s="36" t="s">
        <v>146</v>
      </c>
      <c r="B29" s="34"/>
      <c r="C29" s="34"/>
      <c r="D29" s="34"/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43"/>
  <sheetViews>
    <sheetView workbookViewId="0">
      <selection activeCell="C3" sqref="C3"/>
    </sheetView>
  </sheetViews>
  <sheetFormatPr defaultRowHeight="14.1"/>
  <cols>
    <col min="1" max="2" width="17.125" customWidth="1"/>
    <col min="3" max="3" width="37.125" customWidth="1"/>
    <col min="4" max="4" width="9.75" customWidth="1"/>
    <col min="5" max="5" width="26.375" customWidth="1"/>
    <col min="6" max="6" width="33.875" customWidth="1"/>
    <col min="7" max="7" width="68" customWidth="1"/>
    <col min="8" max="8" width="16.375" customWidth="1"/>
    <col min="9" max="9" width="18.875" customWidth="1"/>
    <col min="10" max="10" width="16.75" style="137" customWidth="1"/>
    <col min="11" max="11" width="13.875" style="138" customWidth="1"/>
    <col min="12" max="12" width="20.125" style="139" customWidth="1"/>
    <col min="13" max="13" width="17.5" customWidth="1"/>
    <col min="14" max="14" width="25.25" customWidth="1"/>
    <col min="15" max="15" width="26.25" customWidth="1"/>
    <col min="16" max="16" width="16.5" style="17" customWidth="1"/>
    <col min="17" max="17" width="17.5" customWidth="1"/>
    <col min="18" max="18" width="7.125" customWidth="1"/>
    <col min="19" max="19" width="18" customWidth="1"/>
    <col min="20" max="20" width="15.75" customWidth="1"/>
    <col min="21" max="21" width="14.625" customWidth="1"/>
    <col min="22" max="22" width="39.375" customWidth="1"/>
    <col min="23" max="23" width="16.125" customWidth="1"/>
    <col min="24" max="25" width="10.875" bestFit="1" customWidth="1"/>
    <col min="26" max="26" width="17.5" bestFit="1" customWidth="1"/>
    <col min="27" max="27" width="10.125" bestFit="1" customWidth="1"/>
    <col min="28" max="28" width="11.125" bestFit="1" customWidth="1"/>
    <col min="29" max="29" width="10.125" bestFit="1" customWidth="1"/>
  </cols>
  <sheetData>
    <row r="1" spans="1:29">
      <c r="Y1" s="140">
        <v>0.26400000000000001</v>
      </c>
    </row>
    <row r="2" spans="1:29" s="9" customFormat="1" ht="66.75" customHeight="1">
      <c r="A2" s="141" t="s">
        <v>0</v>
      </c>
      <c r="B2" s="141" t="s">
        <v>347</v>
      </c>
      <c r="C2" s="141" t="s">
        <v>1</v>
      </c>
      <c r="D2" s="142" t="s">
        <v>83</v>
      </c>
      <c r="E2" s="143" t="s">
        <v>84</v>
      </c>
      <c r="F2" s="143" t="s">
        <v>85</v>
      </c>
      <c r="G2" s="143" t="s">
        <v>86</v>
      </c>
      <c r="H2" s="143" t="s">
        <v>2</v>
      </c>
      <c r="I2" s="143" t="s">
        <v>87</v>
      </c>
      <c r="J2" s="144" t="s">
        <v>348</v>
      </c>
      <c r="K2" s="145" t="s">
        <v>4</v>
      </c>
      <c r="L2" s="146" t="s">
        <v>349</v>
      </c>
      <c r="M2" s="143" t="s">
        <v>8</v>
      </c>
      <c r="N2" s="143" t="s">
        <v>89</v>
      </c>
      <c r="O2" s="143" t="s">
        <v>90</v>
      </c>
      <c r="P2" s="143" t="s">
        <v>238</v>
      </c>
      <c r="Q2" s="143" t="s">
        <v>12</v>
      </c>
      <c r="R2" s="143" t="s">
        <v>91</v>
      </c>
      <c r="S2" s="143" t="s">
        <v>239</v>
      </c>
      <c r="T2" s="143" t="s">
        <v>93</v>
      </c>
      <c r="U2" s="143" t="s">
        <v>14</v>
      </c>
      <c r="V2" s="143" t="s">
        <v>94</v>
      </c>
      <c r="W2" s="141" t="s">
        <v>15</v>
      </c>
      <c r="X2" s="147" t="s">
        <v>5</v>
      </c>
      <c r="Y2" s="147" t="s">
        <v>350</v>
      </c>
      <c r="Z2" s="147" t="s">
        <v>351</v>
      </c>
    </row>
    <row r="3" spans="1:29" ht="39">
      <c r="A3" s="148" t="s">
        <v>318</v>
      </c>
      <c r="B3" s="148" t="s">
        <v>352</v>
      </c>
      <c r="C3" s="148" t="s">
        <v>254</v>
      </c>
      <c r="D3" s="149">
        <v>1</v>
      </c>
      <c r="E3" s="149" t="s">
        <v>158</v>
      </c>
      <c r="F3" s="148" t="s">
        <v>319</v>
      </c>
      <c r="G3" s="150" t="s">
        <v>257</v>
      </c>
      <c r="H3" s="148" t="s">
        <v>353</v>
      </c>
      <c r="I3" s="148" t="s">
        <v>23</v>
      </c>
      <c r="J3" s="151">
        <v>177000</v>
      </c>
      <c r="K3" s="152">
        <v>121500</v>
      </c>
      <c r="L3" s="153">
        <v>0.25</v>
      </c>
      <c r="M3" s="154" t="s">
        <v>23</v>
      </c>
      <c r="N3" s="155" t="s">
        <v>321</v>
      </c>
      <c r="O3" s="154"/>
      <c r="P3" s="154" t="s">
        <v>23</v>
      </c>
      <c r="Q3" s="154" t="s">
        <v>23</v>
      </c>
      <c r="R3" s="154" t="s">
        <v>118</v>
      </c>
      <c r="S3" s="154" t="s">
        <v>21</v>
      </c>
      <c r="T3" s="156"/>
      <c r="U3" s="156"/>
      <c r="V3" s="154"/>
      <c r="W3" s="154"/>
      <c r="X3" s="157">
        <f>(J3-K3-(J3*L3))/2</f>
        <v>5625</v>
      </c>
      <c r="Y3" s="157">
        <f>X3*$Y$1</f>
        <v>1485</v>
      </c>
      <c r="Z3" s="157">
        <f>X3+Y3</f>
        <v>7110</v>
      </c>
      <c r="AA3" s="158"/>
      <c r="AB3" s="158"/>
      <c r="AC3" s="158"/>
    </row>
    <row r="4" spans="1:29">
      <c r="A4" s="159" t="s">
        <v>230</v>
      </c>
      <c r="B4" s="159" t="s">
        <v>354</v>
      </c>
      <c r="C4" s="159" t="s">
        <v>232</v>
      </c>
      <c r="D4" s="160">
        <v>1</v>
      </c>
      <c r="E4" s="160" t="s">
        <v>23</v>
      </c>
      <c r="F4" s="159" t="s">
        <v>233</v>
      </c>
      <c r="G4" s="161" t="s">
        <v>234</v>
      </c>
      <c r="H4" s="159" t="s">
        <v>235</v>
      </c>
      <c r="I4" s="159" t="s">
        <v>38</v>
      </c>
      <c r="J4" s="162">
        <v>229020</v>
      </c>
      <c r="K4" s="163">
        <v>71428.570000000007</v>
      </c>
      <c r="L4" s="164">
        <v>0.25</v>
      </c>
      <c r="M4" s="154" t="s">
        <v>23</v>
      </c>
      <c r="N4" s="156" t="s">
        <v>100</v>
      </c>
      <c r="O4" s="156">
        <v>1486.94</v>
      </c>
      <c r="P4" s="156" t="s">
        <v>23</v>
      </c>
      <c r="Q4" s="156" t="s">
        <v>23</v>
      </c>
      <c r="R4" s="156" t="s">
        <v>118</v>
      </c>
      <c r="S4" s="156" t="s">
        <v>21</v>
      </c>
      <c r="T4" s="156">
        <v>32896.22</v>
      </c>
      <c r="U4" s="156" t="s">
        <v>21</v>
      </c>
      <c r="V4" s="156"/>
      <c r="W4" s="156"/>
      <c r="X4" s="157">
        <f t="shared" ref="X4:X16" si="0">(J4-K4-(J4*L4))/2</f>
        <v>50168.214999999997</v>
      </c>
      <c r="Y4" s="157">
        <f t="shared" ref="Y4:Y16" si="1">X4*$Y$1</f>
        <v>13244.40876</v>
      </c>
      <c r="Z4" s="157">
        <f t="shared" ref="Z4:Z16" si="2">X4+Y4</f>
        <v>63412.623759999995</v>
      </c>
      <c r="AA4" s="158"/>
      <c r="AB4" s="158"/>
      <c r="AC4" s="158"/>
    </row>
    <row r="5" spans="1:29" ht="26.1">
      <c r="A5" s="159" t="s">
        <v>230</v>
      </c>
      <c r="B5" s="159" t="s">
        <v>354</v>
      </c>
      <c r="C5" s="159" t="s">
        <v>185</v>
      </c>
      <c r="D5" s="160">
        <v>1</v>
      </c>
      <c r="E5" s="160" t="s">
        <v>23</v>
      </c>
      <c r="F5" s="159" t="s">
        <v>330</v>
      </c>
      <c r="G5" s="161" t="s">
        <v>331</v>
      </c>
      <c r="H5" s="159" t="s">
        <v>332</v>
      </c>
      <c r="I5" s="159" t="s">
        <v>38</v>
      </c>
      <c r="J5" s="162">
        <v>240435</v>
      </c>
      <c r="K5" s="163">
        <v>100000</v>
      </c>
      <c r="L5" s="165">
        <v>0.2</v>
      </c>
      <c r="M5" s="154" t="s">
        <v>23</v>
      </c>
      <c r="N5" s="156" t="s">
        <v>100</v>
      </c>
      <c r="O5" s="156">
        <v>0</v>
      </c>
      <c r="P5" s="156" t="s">
        <v>23</v>
      </c>
      <c r="Q5" s="156" t="s">
        <v>23</v>
      </c>
      <c r="R5" s="156" t="s">
        <v>102</v>
      </c>
      <c r="S5" s="156" t="s">
        <v>21</v>
      </c>
      <c r="T5" s="156">
        <v>41296.92</v>
      </c>
      <c r="U5" s="156" t="s">
        <v>21</v>
      </c>
      <c r="V5" s="156"/>
      <c r="W5" s="156"/>
      <c r="X5" s="157">
        <f t="shared" si="0"/>
        <v>46174</v>
      </c>
      <c r="Y5" s="157">
        <f t="shared" si="1"/>
        <v>12189.936</v>
      </c>
      <c r="Z5" s="157">
        <f t="shared" si="2"/>
        <v>58363.936000000002</v>
      </c>
      <c r="AA5" s="158"/>
      <c r="AB5" s="158"/>
      <c r="AC5" s="158"/>
    </row>
    <row r="6" spans="1:29">
      <c r="A6" s="159" t="s">
        <v>230</v>
      </c>
      <c r="B6" s="159" t="s">
        <v>354</v>
      </c>
      <c r="C6" s="159" t="s">
        <v>355</v>
      </c>
      <c r="D6" s="160">
        <v>1</v>
      </c>
      <c r="E6" s="160" t="s">
        <v>23</v>
      </c>
      <c r="F6" s="159" t="s">
        <v>356</v>
      </c>
      <c r="G6" s="161" t="s">
        <v>357</v>
      </c>
      <c r="H6" s="159" t="s">
        <v>358</v>
      </c>
      <c r="I6" s="159" t="s">
        <v>38</v>
      </c>
      <c r="J6" s="162">
        <v>220000</v>
      </c>
      <c r="K6" s="163">
        <v>100000</v>
      </c>
      <c r="L6" s="164">
        <v>0.25</v>
      </c>
      <c r="M6" s="156" t="s">
        <v>21</v>
      </c>
      <c r="N6" s="156" t="s">
        <v>100</v>
      </c>
      <c r="O6" s="156">
        <v>0</v>
      </c>
      <c r="P6" s="156" t="s">
        <v>23</v>
      </c>
      <c r="Q6" s="156" t="s">
        <v>23</v>
      </c>
      <c r="R6" s="156" t="s">
        <v>118</v>
      </c>
      <c r="S6" s="156" t="s">
        <v>21</v>
      </c>
      <c r="T6" s="156">
        <v>0</v>
      </c>
      <c r="U6" s="156" t="s">
        <v>21</v>
      </c>
      <c r="V6" s="156"/>
      <c r="W6" s="156"/>
      <c r="X6" s="157">
        <f t="shared" si="0"/>
        <v>32500</v>
      </c>
      <c r="Y6" s="157">
        <f t="shared" si="1"/>
        <v>8580</v>
      </c>
      <c r="Z6" s="157">
        <f t="shared" si="2"/>
        <v>41080</v>
      </c>
      <c r="AA6" s="158"/>
      <c r="AB6" s="158"/>
      <c r="AC6" s="158"/>
    </row>
    <row r="7" spans="1:29" ht="26.1">
      <c r="A7" s="159" t="s">
        <v>230</v>
      </c>
      <c r="B7" s="159" t="s">
        <v>354</v>
      </c>
      <c r="C7" s="159" t="s">
        <v>359</v>
      </c>
      <c r="D7" s="160">
        <v>1</v>
      </c>
      <c r="E7" s="160" t="s">
        <v>23</v>
      </c>
      <c r="F7" s="159" t="s">
        <v>360</v>
      </c>
      <c r="G7" s="161" t="s">
        <v>361</v>
      </c>
      <c r="H7" s="159" t="s">
        <v>362</v>
      </c>
      <c r="I7" s="159" t="s">
        <v>38</v>
      </c>
      <c r="J7" s="162">
        <v>230000</v>
      </c>
      <c r="K7" s="163">
        <v>100000</v>
      </c>
      <c r="L7" s="164">
        <v>0.25</v>
      </c>
      <c r="M7" s="156" t="s">
        <v>21</v>
      </c>
      <c r="N7" s="156" t="s">
        <v>100</v>
      </c>
      <c r="O7" s="156">
        <v>0</v>
      </c>
      <c r="P7" s="156"/>
      <c r="Q7" s="156" t="s">
        <v>23</v>
      </c>
      <c r="R7" s="156" t="s">
        <v>102</v>
      </c>
      <c r="S7" s="156" t="s">
        <v>21</v>
      </c>
      <c r="T7" s="156">
        <v>0</v>
      </c>
      <c r="U7" s="156" t="s">
        <v>23</v>
      </c>
      <c r="V7" s="156"/>
      <c r="W7" s="156"/>
      <c r="X7" s="157">
        <f t="shared" si="0"/>
        <v>36250</v>
      </c>
      <c r="Y7" s="157">
        <f t="shared" si="1"/>
        <v>9570</v>
      </c>
      <c r="Z7" s="157">
        <f t="shared" si="2"/>
        <v>45820</v>
      </c>
      <c r="AA7" s="158"/>
      <c r="AB7" s="158"/>
      <c r="AC7" s="158"/>
    </row>
    <row r="8" spans="1:29">
      <c r="A8" s="161" t="s">
        <v>262</v>
      </c>
      <c r="B8" s="159" t="s">
        <v>363</v>
      </c>
      <c r="C8" s="161" t="s">
        <v>364</v>
      </c>
      <c r="D8" s="160">
        <v>1</v>
      </c>
      <c r="E8" s="160" t="s">
        <v>23</v>
      </c>
      <c r="F8" s="159" t="s">
        <v>365</v>
      </c>
      <c r="G8" s="161" t="s">
        <v>302</v>
      </c>
      <c r="H8" s="159" t="s">
        <v>366</v>
      </c>
      <c r="I8" s="159" t="s">
        <v>38</v>
      </c>
      <c r="J8" s="162">
        <v>196500</v>
      </c>
      <c r="K8" s="163">
        <v>50667</v>
      </c>
      <c r="L8" s="165">
        <v>0.1</v>
      </c>
      <c r="M8" s="156"/>
      <c r="N8" s="156"/>
      <c r="O8" s="156"/>
      <c r="P8" s="156"/>
      <c r="Q8" s="156"/>
      <c r="R8" s="156" t="s">
        <v>118</v>
      </c>
      <c r="S8" s="156"/>
      <c r="T8" s="156"/>
      <c r="U8" s="156"/>
      <c r="V8" s="156"/>
      <c r="W8" s="156"/>
      <c r="X8" s="157">
        <f t="shared" si="0"/>
        <v>63091.5</v>
      </c>
      <c r="Y8" s="157">
        <f t="shared" si="1"/>
        <v>16656.155999999999</v>
      </c>
      <c r="Z8" s="157">
        <f t="shared" si="2"/>
        <v>79747.656000000003</v>
      </c>
      <c r="AA8" s="158"/>
      <c r="AB8" s="158"/>
      <c r="AC8" s="158"/>
    </row>
    <row r="9" spans="1:29" ht="39">
      <c r="A9" s="161" t="s">
        <v>333</v>
      </c>
      <c r="B9" s="161" t="s">
        <v>367</v>
      </c>
      <c r="C9" s="161" t="s">
        <v>368</v>
      </c>
      <c r="D9" s="160">
        <v>1</v>
      </c>
      <c r="E9" s="161" t="s">
        <v>158</v>
      </c>
      <c r="F9" s="161" t="s">
        <v>369</v>
      </c>
      <c r="G9" s="161" t="s">
        <v>216</v>
      </c>
      <c r="H9" s="161" t="s">
        <v>370</v>
      </c>
      <c r="I9" s="161" t="s">
        <v>162</v>
      </c>
      <c r="J9" s="166">
        <v>193800</v>
      </c>
      <c r="K9" s="167">
        <v>100000</v>
      </c>
      <c r="L9" s="168">
        <v>0.15</v>
      </c>
      <c r="M9" s="154" t="s">
        <v>23</v>
      </c>
      <c r="N9" s="161" t="s">
        <v>371</v>
      </c>
      <c r="O9" s="161" t="s">
        <v>372</v>
      </c>
      <c r="P9" s="154" t="s">
        <v>23</v>
      </c>
      <c r="Q9" s="154" t="s">
        <v>23</v>
      </c>
      <c r="R9" s="161" t="s">
        <v>118</v>
      </c>
      <c r="S9" s="161" t="s">
        <v>373</v>
      </c>
      <c r="T9" s="156" t="s">
        <v>162</v>
      </c>
      <c r="U9" s="161" t="s">
        <v>164</v>
      </c>
      <c r="V9" s="161"/>
      <c r="W9" s="156"/>
      <c r="X9" s="157">
        <f t="shared" si="0"/>
        <v>32365</v>
      </c>
      <c r="Y9" s="157">
        <f t="shared" si="1"/>
        <v>8544.36</v>
      </c>
      <c r="Z9" s="157">
        <f t="shared" si="2"/>
        <v>40909.360000000001</v>
      </c>
      <c r="AA9" s="158"/>
      <c r="AB9" s="158"/>
      <c r="AC9" s="158"/>
    </row>
    <row r="10" spans="1:29" ht="39">
      <c r="A10" s="161" t="s">
        <v>333</v>
      </c>
      <c r="B10" s="161" t="s">
        <v>367</v>
      </c>
      <c r="C10" s="161" t="s">
        <v>374</v>
      </c>
      <c r="D10" s="160">
        <v>1</v>
      </c>
      <c r="E10" s="161" t="s">
        <v>158</v>
      </c>
      <c r="F10" s="161" t="s">
        <v>375</v>
      </c>
      <c r="G10" s="161" t="s">
        <v>376</v>
      </c>
      <c r="H10" s="161" t="s">
        <v>377</v>
      </c>
      <c r="I10" s="161" t="s">
        <v>162</v>
      </c>
      <c r="J10" s="166">
        <v>179520</v>
      </c>
      <c r="K10" s="167">
        <v>100000</v>
      </c>
      <c r="L10" s="168">
        <v>0.2</v>
      </c>
      <c r="M10" s="154" t="s">
        <v>23</v>
      </c>
      <c r="N10" s="161" t="s">
        <v>378</v>
      </c>
      <c r="O10" s="161" t="s">
        <v>379</v>
      </c>
      <c r="P10" s="154" t="s">
        <v>23</v>
      </c>
      <c r="Q10" s="154" t="s">
        <v>23</v>
      </c>
      <c r="R10" s="161" t="s">
        <v>118</v>
      </c>
      <c r="S10" s="161" t="s">
        <v>164</v>
      </c>
      <c r="T10" s="156" t="s">
        <v>164</v>
      </c>
      <c r="U10" s="161" t="s">
        <v>164</v>
      </c>
      <c r="V10" s="161" t="s">
        <v>380</v>
      </c>
      <c r="W10" s="156"/>
      <c r="X10" s="157">
        <f t="shared" si="0"/>
        <v>21808</v>
      </c>
      <c r="Y10" s="157">
        <f t="shared" si="1"/>
        <v>5757.3119999999999</v>
      </c>
      <c r="Z10" s="157">
        <f t="shared" si="2"/>
        <v>27565.311999999998</v>
      </c>
      <c r="AA10" s="158"/>
      <c r="AB10" s="158"/>
      <c r="AC10" s="158"/>
    </row>
    <row r="11" spans="1:29" ht="51.95">
      <c r="A11" s="161" t="s">
        <v>333</v>
      </c>
      <c r="B11" s="161" t="s">
        <v>367</v>
      </c>
      <c r="C11" s="161" t="s">
        <v>381</v>
      </c>
      <c r="D11" s="160">
        <v>1</v>
      </c>
      <c r="E11" s="161" t="s">
        <v>158</v>
      </c>
      <c r="F11" s="161" t="s">
        <v>382</v>
      </c>
      <c r="G11" s="161" t="s">
        <v>383</v>
      </c>
      <c r="H11" s="161" t="s">
        <v>384</v>
      </c>
      <c r="I11" s="161" t="s">
        <v>162</v>
      </c>
      <c r="J11" s="166">
        <v>172000</v>
      </c>
      <c r="K11" s="167">
        <v>93500</v>
      </c>
      <c r="L11" s="168">
        <v>0.06</v>
      </c>
      <c r="M11" s="154" t="s">
        <v>23</v>
      </c>
      <c r="N11" s="161" t="s">
        <v>385</v>
      </c>
      <c r="O11" s="161" t="s">
        <v>386</v>
      </c>
      <c r="P11" s="154" t="s">
        <v>23</v>
      </c>
      <c r="Q11" s="154" t="s">
        <v>23</v>
      </c>
      <c r="R11" s="161" t="s">
        <v>102</v>
      </c>
      <c r="S11" s="161" t="s">
        <v>164</v>
      </c>
      <c r="T11" s="156" t="s">
        <v>164</v>
      </c>
      <c r="U11" s="161" t="s">
        <v>164</v>
      </c>
      <c r="V11" s="161" t="s">
        <v>387</v>
      </c>
      <c r="W11" s="156"/>
      <c r="X11" s="157">
        <f t="shared" si="0"/>
        <v>34090</v>
      </c>
      <c r="Y11" s="157">
        <f t="shared" si="1"/>
        <v>8999.76</v>
      </c>
      <c r="Z11" s="157">
        <f t="shared" si="2"/>
        <v>43089.760000000002</v>
      </c>
      <c r="AA11" s="158"/>
      <c r="AB11" s="158"/>
      <c r="AC11" s="158"/>
    </row>
    <row r="12" spans="1:29" ht="26.1">
      <c r="A12" s="169" t="s">
        <v>40</v>
      </c>
      <c r="B12" s="169" t="s">
        <v>388</v>
      </c>
      <c r="C12" s="169" t="s">
        <v>389</v>
      </c>
      <c r="D12" s="160">
        <v>1</v>
      </c>
      <c r="E12" s="161" t="s">
        <v>38</v>
      </c>
      <c r="F12" s="159" t="s">
        <v>390</v>
      </c>
      <c r="G12" s="170" t="s">
        <v>391</v>
      </c>
      <c r="H12" s="170" t="s">
        <v>392</v>
      </c>
      <c r="I12" s="169" t="s">
        <v>38</v>
      </c>
      <c r="J12" s="171">
        <v>171360</v>
      </c>
      <c r="K12" s="172">
        <v>100000</v>
      </c>
      <c r="L12" s="173">
        <v>0.15</v>
      </c>
      <c r="M12" s="174" t="s">
        <v>246</v>
      </c>
      <c r="N12" s="174"/>
      <c r="O12" s="175"/>
      <c r="P12" s="174" t="s">
        <v>38</v>
      </c>
      <c r="Q12" s="174" t="s">
        <v>38</v>
      </c>
      <c r="R12" s="174" t="s">
        <v>102</v>
      </c>
      <c r="S12" s="174" t="s">
        <v>246</v>
      </c>
      <c r="T12" s="156" t="s">
        <v>38</v>
      </c>
      <c r="U12" s="174" t="s">
        <v>246</v>
      </c>
      <c r="V12" s="174"/>
      <c r="W12" s="174"/>
      <c r="X12" s="157">
        <f t="shared" si="0"/>
        <v>22828</v>
      </c>
      <c r="Y12" s="157">
        <f t="shared" si="1"/>
        <v>6026.5920000000006</v>
      </c>
      <c r="Z12" s="157">
        <f t="shared" si="2"/>
        <v>28854.592000000001</v>
      </c>
      <c r="AA12" s="158"/>
      <c r="AB12" s="158"/>
      <c r="AC12" s="158"/>
    </row>
    <row r="13" spans="1:29" ht="51.95">
      <c r="A13" s="170" t="s">
        <v>40</v>
      </c>
      <c r="B13" s="169" t="s">
        <v>388</v>
      </c>
      <c r="C13" s="170" t="s">
        <v>393</v>
      </c>
      <c r="D13" s="160">
        <v>1</v>
      </c>
      <c r="E13" s="161" t="s">
        <v>38</v>
      </c>
      <c r="F13" s="161" t="s">
        <v>394</v>
      </c>
      <c r="G13" s="161" t="s">
        <v>395</v>
      </c>
      <c r="H13" s="169" t="s">
        <v>396</v>
      </c>
      <c r="I13" s="169" t="s">
        <v>38</v>
      </c>
      <c r="J13" s="171">
        <v>208000</v>
      </c>
      <c r="K13" s="172">
        <v>100000</v>
      </c>
      <c r="L13" s="176">
        <v>0.25</v>
      </c>
      <c r="M13" s="174" t="s">
        <v>246</v>
      </c>
      <c r="N13" s="174"/>
      <c r="O13" s="175"/>
      <c r="P13" s="174" t="s">
        <v>38</v>
      </c>
      <c r="Q13" s="174" t="s">
        <v>38</v>
      </c>
      <c r="R13" s="174" t="s">
        <v>118</v>
      </c>
      <c r="S13" s="174" t="s">
        <v>246</v>
      </c>
      <c r="T13" s="156" t="s">
        <v>246</v>
      </c>
      <c r="U13" s="177" t="s">
        <v>317</v>
      </c>
      <c r="V13" s="174"/>
      <c r="W13" s="174"/>
      <c r="X13" s="157">
        <f t="shared" si="0"/>
        <v>28000</v>
      </c>
      <c r="Y13" s="157">
        <f t="shared" si="1"/>
        <v>7392</v>
      </c>
      <c r="Z13" s="157">
        <f t="shared" si="2"/>
        <v>35392</v>
      </c>
      <c r="AA13" s="158"/>
      <c r="AB13" s="158"/>
      <c r="AC13" s="158"/>
    </row>
    <row r="14" spans="1:29" ht="26.1">
      <c r="A14" s="169" t="s">
        <v>73</v>
      </c>
      <c r="B14" s="169" t="s">
        <v>397</v>
      </c>
      <c r="C14" s="169" t="s">
        <v>74</v>
      </c>
      <c r="D14" s="160">
        <v>1</v>
      </c>
      <c r="E14" s="161" t="s">
        <v>38</v>
      </c>
      <c r="F14" s="159" t="s">
        <v>277</v>
      </c>
      <c r="G14" s="161" t="s">
        <v>278</v>
      </c>
      <c r="H14" s="169" t="s">
        <v>398</v>
      </c>
      <c r="I14" s="169" t="s">
        <v>38</v>
      </c>
      <c r="J14" s="171">
        <v>246318</v>
      </c>
      <c r="K14" s="172">
        <v>100000</v>
      </c>
      <c r="L14" s="176">
        <v>0.25</v>
      </c>
      <c r="M14" s="174"/>
      <c r="N14" s="174"/>
      <c r="O14" s="175"/>
      <c r="P14" s="174"/>
      <c r="Q14" s="174"/>
      <c r="R14" s="174"/>
      <c r="S14" s="174"/>
      <c r="T14" s="156"/>
      <c r="U14" s="174"/>
      <c r="V14" s="174"/>
      <c r="W14" s="174"/>
      <c r="X14" s="157">
        <f t="shared" si="0"/>
        <v>42369.25</v>
      </c>
      <c r="Y14" s="157">
        <f t="shared" si="1"/>
        <v>11185.482</v>
      </c>
      <c r="Z14" s="157">
        <f t="shared" si="2"/>
        <v>53554.732000000004</v>
      </c>
      <c r="AA14" s="158"/>
      <c r="AB14" s="158"/>
      <c r="AC14" s="158"/>
    </row>
    <row r="15" spans="1:29" ht="26.1">
      <c r="A15" s="169" t="s">
        <v>399</v>
      </c>
      <c r="B15" s="169" t="s">
        <v>400</v>
      </c>
      <c r="C15" s="169" t="s">
        <v>401</v>
      </c>
      <c r="D15" s="160">
        <v>1</v>
      </c>
      <c r="E15" s="178" t="s">
        <v>158</v>
      </c>
      <c r="F15" s="169" t="s">
        <v>402</v>
      </c>
      <c r="G15" s="170" t="s">
        <v>403</v>
      </c>
      <c r="H15" s="170" t="s">
        <v>404</v>
      </c>
      <c r="I15" s="170" t="s">
        <v>23</v>
      </c>
      <c r="J15" s="179">
        <v>200000</v>
      </c>
      <c r="K15" s="179">
        <v>100000</v>
      </c>
      <c r="L15" s="176">
        <v>0.25</v>
      </c>
      <c r="M15" s="154" t="s">
        <v>23</v>
      </c>
      <c r="N15" s="174" t="s">
        <v>405</v>
      </c>
      <c r="O15" s="175">
        <v>232874.34</v>
      </c>
      <c r="P15" s="154" t="s">
        <v>23</v>
      </c>
      <c r="Q15" s="154" t="s">
        <v>23</v>
      </c>
      <c r="R15" s="174" t="s">
        <v>118</v>
      </c>
      <c r="S15" s="174" t="s">
        <v>23</v>
      </c>
      <c r="T15" s="156">
        <v>187379</v>
      </c>
      <c r="U15" s="174" t="s">
        <v>38</v>
      </c>
      <c r="V15" s="177" t="s">
        <v>406</v>
      </c>
      <c r="W15" s="174"/>
      <c r="X15" s="157">
        <f t="shared" si="0"/>
        <v>25000</v>
      </c>
      <c r="Y15" s="157">
        <f t="shared" si="1"/>
        <v>6600</v>
      </c>
      <c r="Z15" s="157">
        <f t="shared" si="2"/>
        <v>31600</v>
      </c>
      <c r="AA15" s="158"/>
      <c r="AB15" s="158"/>
      <c r="AC15" s="158"/>
    </row>
    <row r="16" spans="1:29">
      <c r="A16" s="148" t="s">
        <v>407</v>
      </c>
      <c r="B16" s="148" t="s">
        <v>408</v>
      </c>
      <c r="C16" s="148" t="s">
        <v>311</v>
      </c>
      <c r="D16" s="149">
        <v>1</v>
      </c>
      <c r="E16" s="149" t="s">
        <v>407</v>
      </c>
      <c r="F16" s="148" t="s">
        <v>409</v>
      </c>
      <c r="G16" s="150" t="s">
        <v>314</v>
      </c>
      <c r="H16" s="148" t="s">
        <v>315</v>
      </c>
      <c r="I16" s="148" t="s">
        <v>38</v>
      </c>
      <c r="J16" s="151">
        <v>130000</v>
      </c>
      <c r="K16" s="152">
        <v>90000</v>
      </c>
      <c r="L16" s="180">
        <v>0</v>
      </c>
      <c r="M16" s="154" t="s">
        <v>23</v>
      </c>
      <c r="N16" s="155" t="s">
        <v>410</v>
      </c>
      <c r="O16" s="156">
        <v>574226</v>
      </c>
      <c r="P16" s="154" t="s">
        <v>20</v>
      </c>
      <c r="Q16" s="154" t="s">
        <v>23</v>
      </c>
      <c r="R16" s="154" t="s">
        <v>102</v>
      </c>
      <c r="S16" s="154" t="s">
        <v>21</v>
      </c>
      <c r="T16" s="156" t="s">
        <v>411</v>
      </c>
      <c r="U16" s="156" t="s">
        <v>21</v>
      </c>
      <c r="V16" s="154"/>
      <c r="W16" s="154"/>
      <c r="X16" s="157">
        <f t="shared" si="0"/>
        <v>20000</v>
      </c>
      <c r="Y16" s="157">
        <f t="shared" si="1"/>
        <v>5280</v>
      </c>
      <c r="Z16" s="157">
        <f t="shared" si="2"/>
        <v>25280</v>
      </c>
      <c r="AA16" s="158"/>
      <c r="AB16" s="158"/>
      <c r="AC16" s="158"/>
    </row>
    <row r="17" spans="1:26">
      <c r="X17" s="19"/>
      <c r="Y17" s="19"/>
      <c r="Z17" s="19"/>
    </row>
    <row r="18" spans="1:26">
      <c r="L18" s="181" t="s">
        <v>412</v>
      </c>
      <c r="W18" s="182" t="s">
        <v>413</v>
      </c>
      <c r="X18" s="183">
        <f>SUM(X3:X17)</f>
        <v>460268.96499999997</v>
      </c>
      <c r="Y18" s="183">
        <f>SUM(Y3:Y17)</f>
        <v>121511.00676</v>
      </c>
      <c r="Z18" s="183">
        <f>SUM(Z3:Z17)</f>
        <v>581779.97175999999</v>
      </c>
    </row>
    <row r="19" spans="1:26">
      <c r="X19" s="19"/>
      <c r="Y19" s="19"/>
      <c r="Z19" s="19"/>
    </row>
    <row r="20" spans="1:26">
      <c r="X20" s="19"/>
      <c r="Y20" s="19"/>
      <c r="Z20" s="19"/>
    </row>
    <row r="21" spans="1:26">
      <c r="X21" s="19"/>
      <c r="Y21" s="19"/>
      <c r="Z21" s="19"/>
    </row>
    <row r="22" spans="1:26">
      <c r="X22" s="19"/>
      <c r="Y22" s="19"/>
      <c r="Z22" s="19"/>
    </row>
    <row r="23" spans="1:26" ht="18">
      <c r="A23" s="33" t="s">
        <v>136</v>
      </c>
      <c r="B23" s="33"/>
      <c r="C23" s="34"/>
      <c r="D23" s="34"/>
      <c r="E23" s="34"/>
      <c r="X23" s="19"/>
      <c r="Y23" s="19"/>
      <c r="Z23" s="19"/>
    </row>
    <row r="24" spans="1:26" ht="18">
      <c r="A24" s="33"/>
      <c r="B24" s="33"/>
      <c r="C24" s="34"/>
      <c r="D24" s="34"/>
      <c r="E24" s="34"/>
      <c r="X24" s="19"/>
      <c r="Y24" s="19"/>
      <c r="Z24" s="19"/>
    </row>
    <row r="25" spans="1:26">
      <c r="A25" s="35" t="s">
        <v>137</v>
      </c>
      <c r="B25" s="35"/>
      <c r="C25" s="34"/>
      <c r="D25" s="34"/>
      <c r="E25" s="34"/>
      <c r="X25" s="19"/>
      <c r="Y25" s="19"/>
      <c r="Z25" s="19"/>
    </row>
    <row r="26" spans="1:26">
      <c r="A26" s="35" t="s">
        <v>138</v>
      </c>
      <c r="B26" s="35"/>
      <c r="C26" s="34"/>
      <c r="D26" s="34"/>
      <c r="E26" s="34"/>
      <c r="X26" s="19"/>
      <c r="Y26" s="19"/>
      <c r="Z26" s="19"/>
    </row>
    <row r="27" spans="1:26">
      <c r="A27" s="35" t="s">
        <v>139</v>
      </c>
      <c r="B27" s="35"/>
      <c r="C27" s="34"/>
      <c r="D27" s="34"/>
      <c r="E27" s="34"/>
      <c r="X27" s="19"/>
      <c r="Y27" s="19"/>
      <c r="Z27" s="19"/>
    </row>
    <row r="28" spans="1:26">
      <c r="A28" s="35" t="s">
        <v>140</v>
      </c>
      <c r="B28" s="35"/>
      <c r="C28" s="34"/>
      <c r="D28" s="34"/>
      <c r="E28" s="34"/>
      <c r="X28" s="19"/>
      <c r="Y28" s="19"/>
      <c r="Z28" s="19"/>
    </row>
    <row r="29" spans="1:26">
      <c r="A29" s="35" t="s">
        <v>141</v>
      </c>
      <c r="B29" s="35"/>
      <c r="C29" s="34"/>
      <c r="D29" s="34"/>
      <c r="E29" s="34"/>
      <c r="X29" s="19"/>
      <c r="Y29" s="19"/>
      <c r="Z29" s="19"/>
    </row>
    <row r="30" spans="1:26">
      <c r="A30" s="35" t="s">
        <v>414</v>
      </c>
      <c r="B30" s="35"/>
      <c r="C30" s="34"/>
      <c r="D30" s="34"/>
      <c r="E30" s="34"/>
      <c r="X30" s="19"/>
      <c r="Y30" s="19"/>
      <c r="Z30" s="19"/>
    </row>
    <row r="31" spans="1:26">
      <c r="A31" s="35" t="s">
        <v>415</v>
      </c>
      <c r="B31" s="35"/>
      <c r="C31" s="34"/>
      <c r="D31" s="34"/>
      <c r="E31" s="34"/>
      <c r="X31" s="19"/>
      <c r="Y31" s="19"/>
      <c r="Z31" s="19"/>
    </row>
    <row r="32" spans="1:26">
      <c r="A32" s="35" t="s">
        <v>144</v>
      </c>
      <c r="B32" s="35"/>
      <c r="C32" s="34"/>
      <c r="D32" s="34"/>
      <c r="E32" s="34"/>
      <c r="X32" s="19"/>
      <c r="Y32" s="19"/>
      <c r="Z32" s="19"/>
    </row>
    <row r="33" spans="1:26">
      <c r="A33" s="35" t="s">
        <v>145</v>
      </c>
      <c r="B33" s="35"/>
      <c r="C33" s="34"/>
      <c r="D33" s="34"/>
      <c r="E33" s="34"/>
      <c r="X33" s="19"/>
      <c r="Y33" s="19"/>
      <c r="Z33" s="19"/>
    </row>
    <row r="34" spans="1:26">
      <c r="A34" s="36" t="s">
        <v>146</v>
      </c>
      <c r="B34" s="36"/>
      <c r="C34" s="34"/>
      <c r="D34" s="34"/>
      <c r="E34" s="34"/>
      <c r="X34" s="19"/>
      <c r="Y34" s="19"/>
      <c r="Z34" s="19"/>
    </row>
    <row r="35" spans="1:26">
      <c r="X35" s="19"/>
      <c r="Y35" s="19"/>
      <c r="Z35" s="19"/>
    </row>
    <row r="36" spans="1:26">
      <c r="X36" s="19"/>
      <c r="Y36" s="19"/>
      <c r="Z36" s="19"/>
    </row>
    <row r="37" spans="1:26">
      <c r="X37" s="19"/>
      <c r="Y37" s="19"/>
      <c r="Z37" s="19"/>
    </row>
    <row r="38" spans="1:26">
      <c r="X38" s="19"/>
      <c r="Y38" s="19"/>
      <c r="Z38" s="19"/>
    </row>
    <row r="39" spans="1:26">
      <c r="X39" s="19"/>
      <c r="Y39" s="19"/>
      <c r="Z39" s="19"/>
    </row>
    <row r="40" spans="1:26">
      <c r="X40" s="19"/>
      <c r="Y40" s="19"/>
      <c r="Z40" s="19"/>
    </row>
    <row r="41" spans="1:26">
      <c r="X41" s="19"/>
      <c r="Y41" s="19"/>
      <c r="Z41" s="19"/>
    </row>
    <row r="42" spans="1:26">
      <c r="X42" s="19"/>
      <c r="Y42" s="19"/>
      <c r="Z42" s="19"/>
    </row>
    <row r="43" spans="1:26">
      <c r="X43" s="19"/>
      <c r="Y43" s="19"/>
      <c r="Z43" s="19"/>
    </row>
  </sheetData>
  <autoFilter ref="A2:Z16" xr:uid="{00000000-0009-0000-0000-000006000000}"/>
  <pageMargins left="0.7" right="0.7" top="0.75" bottom="0.75" header="0.3" footer="0.3"/>
  <pageSetup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48"/>
  <sheetViews>
    <sheetView zoomScale="85" zoomScaleNormal="85" workbookViewId="0">
      <pane xSplit="3" ySplit="2" topLeftCell="G16" activePane="bottomRight" state="frozen"/>
      <selection pane="bottomRight" activeCell="J2" sqref="J2"/>
      <selection pane="bottomLeft" activeCell="A3" sqref="A3"/>
      <selection pane="topRight" activeCell="D1" sqref="D1"/>
    </sheetView>
  </sheetViews>
  <sheetFormatPr defaultColWidth="8.875" defaultRowHeight="14.1"/>
  <cols>
    <col min="1" max="1" width="22.375" customWidth="1"/>
    <col min="2" max="2" width="21" bestFit="1" customWidth="1"/>
    <col min="3" max="3" width="16.5" bestFit="1" customWidth="1"/>
    <col min="4" max="4" width="8.375" bestFit="1" customWidth="1"/>
    <col min="5" max="5" width="25.375" bestFit="1" customWidth="1"/>
    <col min="6" max="6" width="28.875" bestFit="1" customWidth="1"/>
    <col min="7" max="7" width="14.875" bestFit="1" customWidth="1"/>
    <col min="8" max="8" width="19.125" customWidth="1"/>
    <col min="9" max="9" width="23" bestFit="1" customWidth="1"/>
    <col min="10" max="10" width="16.5" style="138" customWidth="1"/>
    <col min="11" max="11" width="13.875" style="184" customWidth="1"/>
    <col min="12" max="12" width="13.875" style="138" customWidth="1"/>
    <col min="13" max="13" width="9.5" style="139" bestFit="1" customWidth="1"/>
    <col min="14" max="14" width="17.5" customWidth="1"/>
    <col min="15" max="15" width="25" customWidth="1"/>
    <col min="16" max="16" width="26" customWidth="1"/>
    <col min="17" max="17" width="16.5" style="17" customWidth="1"/>
    <col min="18" max="18" width="17.5" customWidth="1"/>
    <col min="19" max="19" width="7" customWidth="1"/>
    <col min="20" max="20" width="18" customWidth="1"/>
    <col min="21" max="21" width="15.5" customWidth="1"/>
    <col min="22" max="22" width="14.5" customWidth="1"/>
    <col min="23" max="23" width="14" bestFit="1" customWidth="1"/>
    <col min="24" max="24" width="22" bestFit="1" customWidth="1"/>
    <col min="25" max="25" width="13.5" bestFit="1" customWidth="1"/>
    <col min="26" max="26" width="17.5" bestFit="1" customWidth="1"/>
    <col min="27" max="27" width="23.875" bestFit="1" customWidth="1"/>
    <col min="28" max="28" width="10.125" bestFit="1" customWidth="1"/>
  </cols>
  <sheetData>
    <row r="1" spans="1:28">
      <c r="Y1" s="140">
        <v>0.26900000000000002</v>
      </c>
    </row>
    <row r="2" spans="1:28" s="9" customFormat="1" ht="66.75" customHeight="1">
      <c r="A2" s="141" t="s">
        <v>0</v>
      </c>
      <c r="B2" s="141" t="s">
        <v>347</v>
      </c>
      <c r="C2" s="141" t="s">
        <v>1</v>
      </c>
      <c r="D2" s="142" t="s">
        <v>83</v>
      </c>
      <c r="E2" s="143" t="s">
        <v>84</v>
      </c>
      <c r="F2" s="143" t="s">
        <v>85</v>
      </c>
      <c r="G2" s="143" t="s">
        <v>86</v>
      </c>
      <c r="H2" s="143" t="s">
        <v>2</v>
      </c>
      <c r="I2" s="143" t="s">
        <v>87</v>
      </c>
      <c r="J2" s="145" t="s">
        <v>416</v>
      </c>
      <c r="K2" s="144" t="s">
        <v>4</v>
      </c>
      <c r="L2" s="145" t="s">
        <v>417</v>
      </c>
      <c r="M2" s="146" t="s">
        <v>349</v>
      </c>
      <c r="N2" s="143" t="s">
        <v>8</v>
      </c>
      <c r="O2" s="143" t="s">
        <v>89</v>
      </c>
      <c r="P2" s="143" t="s">
        <v>90</v>
      </c>
      <c r="Q2" s="143" t="s">
        <v>238</v>
      </c>
      <c r="R2" s="143" t="s">
        <v>12</v>
      </c>
      <c r="S2" s="143" t="s">
        <v>91</v>
      </c>
      <c r="T2" s="143" t="s">
        <v>239</v>
      </c>
      <c r="U2" s="143" t="s">
        <v>93</v>
      </c>
      <c r="V2" s="143" t="s">
        <v>14</v>
      </c>
      <c r="W2" s="143" t="s">
        <v>94</v>
      </c>
      <c r="X2" s="147" t="s">
        <v>5</v>
      </c>
      <c r="Y2" s="147" t="s">
        <v>350</v>
      </c>
      <c r="Z2" s="147" t="s">
        <v>351</v>
      </c>
      <c r="AA2" s="147" t="s">
        <v>418</v>
      </c>
    </row>
    <row r="3" spans="1:28" ht="117">
      <c r="A3" s="148" t="s">
        <v>318</v>
      </c>
      <c r="B3" s="148" t="s">
        <v>419</v>
      </c>
      <c r="C3" s="148" t="s">
        <v>420</v>
      </c>
      <c r="D3" s="185">
        <v>1</v>
      </c>
      <c r="E3" s="149" t="s">
        <v>421</v>
      </c>
      <c r="F3" s="148" t="s">
        <v>319</v>
      </c>
      <c r="G3" s="186" t="s">
        <v>422</v>
      </c>
      <c r="H3" s="148" t="s">
        <v>423</v>
      </c>
      <c r="I3" s="148" t="s">
        <v>21</v>
      </c>
      <c r="J3" s="187">
        <v>192432</v>
      </c>
      <c r="K3" s="188">
        <v>125000</v>
      </c>
      <c r="L3" s="189">
        <v>0.75</v>
      </c>
      <c r="M3" s="190">
        <v>0.25</v>
      </c>
      <c r="N3" s="154" t="s">
        <v>23</v>
      </c>
      <c r="O3" s="155" t="s">
        <v>424</v>
      </c>
      <c r="P3" s="154"/>
      <c r="Q3" s="154" t="s">
        <v>23</v>
      </c>
      <c r="R3" s="154" t="s">
        <v>23</v>
      </c>
      <c r="S3" s="154" t="s">
        <v>218</v>
      </c>
      <c r="T3" s="154" t="s">
        <v>21</v>
      </c>
      <c r="U3" s="191" t="s">
        <v>425</v>
      </c>
      <c r="V3" s="156" t="s">
        <v>21</v>
      </c>
      <c r="W3" s="155" t="s">
        <v>426</v>
      </c>
      <c r="X3" s="192">
        <f t="shared" ref="X3:X20" si="0">MAX(((J3*L3)-K3)/2,0)</f>
        <v>9662</v>
      </c>
      <c r="Y3" s="192">
        <f t="shared" ref="Y3:Y23" si="1">X3*$Y$1</f>
        <v>2599.078</v>
      </c>
      <c r="Z3" s="192">
        <f>X3+Y3</f>
        <v>12261.078</v>
      </c>
      <c r="AA3" s="193"/>
      <c r="AB3" s="158"/>
    </row>
    <row r="4" spans="1:28" ht="65.25" customHeight="1">
      <c r="A4" s="148" t="s">
        <v>318</v>
      </c>
      <c r="B4" s="148" t="s">
        <v>419</v>
      </c>
      <c r="C4" s="159" t="s">
        <v>427</v>
      </c>
      <c r="D4" s="185">
        <v>1</v>
      </c>
      <c r="E4" s="149" t="s">
        <v>421</v>
      </c>
      <c r="F4" s="159" t="s">
        <v>428</v>
      </c>
      <c r="G4" s="161" t="s">
        <v>429</v>
      </c>
      <c r="H4" s="159" t="s">
        <v>430</v>
      </c>
      <c r="I4" s="159" t="s">
        <v>23</v>
      </c>
      <c r="J4" s="194">
        <v>197213</v>
      </c>
      <c r="K4" s="195">
        <v>100000</v>
      </c>
      <c r="L4" s="189">
        <v>0.75</v>
      </c>
      <c r="M4" s="190">
        <v>0.25</v>
      </c>
      <c r="N4" s="154" t="s">
        <v>21</v>
      </c>
      <c r="O4" s="155" t="s">
        <v>20</v>
      </c>
      <c r="P4" s="156"/>
      <c r="Q4" s="156" t="s">
        <v>23</v>
      </c>
      <c r="R4" s="156" t="s">
        <v>23</v>
      </c>
      <c r="S4" s="154" t="s">
        <v>218</v>
      </c>
      <c r="T4" s="154" t="s">
        <v>21</v>
      </c>
      <c r="U4" s="156" t="s">
        <v>21</v>
      </c>
      <c r="V4" s="156" t="s">
        <v>21</v>
      </c>
      <c r="W4" s="156"/>
      <c r="X4" s="192">
        <f t="shared" si="0"/>
        <v>23954.875</v>
      </c>
      <c r="Y4" s="192">
        <f t="shared" si="1"/>
        <v>6443.8613750000004</v>
      </c>
      <c r="Z4" s="192">
        <f t="shared" ref="Z4" si="2">X4+Y4</f>
        <v>30398.736375</v>
      </c>
      <c r="AA4" s="196" t="s">
        <v>431</v>
      </c>
    </row>
    <row r="5" spans="1:28" ht="26.1">
      <c r="A5" s="148" t="s">
        <v>262</v>
      </c>
      <c r="B5" s="159" t="s">
        <v>363</v>
      </c>
      <c r="C5" s="159" t="s">
        <v>432</v>
      </c>
      <c r="D5" s="197">
        <v>1</v>
      </c>
      <c r="E5" s="160" t="s">
        <v>158</v>
      </c>
      <c r="F5" s="159" t="s">
        <v>80</v>
      </c>
      <c r="G5" s="161" t="s">
        <v>433</v>
      </c>
      <c r="H5" s="159" t="s">
        <v>434</v>
      </c>
      <c r="I5" s="159" t="s">
        <v>38</v>
      </c>
      <c r="J5" s="194">
        <v>206665</v>
      </c>
      <c r="K5" s="195">
        <v>33666</v>
      </c>
      <c r="L5" s="189">
        <v>0.75</v>
      </c>
      <c r="M5" s="198">
        <v>0.25</v>
      </c>
      <c r="N5" s="154" t="s">
        <v>246</v>
      </c>
      <c r="O5" s="155"/>
      <c r="P5" s="156"/>
      <c r="Q5" s="156" t="s">
        <v>23</v>
      </c>
      <c r="R5" s="156" t="s">
        <v>38</v>
      </c>
      <c r="S5" s="156" t="s">
        <v>118</v>
      </c>
      <c r="T5" s="156" t="s">
        <v>246</v>
      </c>
      <c r="U5" s="156" t="s">
        <v>246</v>
      </c>
      <c r="V5" s="156" t="s">
        <v>246</v>
      </c>
      <c r="W5" s="156" t="s">
        <v>435</v>
      </c>
      <c r="X5" s="192">
        <f t="shared" si="0"/>
        <v>60666.375</v>
      </c>
      <c r="Y5" s="192">
        <f t="shared" si="1"/>
        <v>16319.254875000001</v>
      </c>
      <c r="Z5" s="192">
        <f>X5+Y5</f>
        <v>76985.629874999999</v>
      </c>
      <c r="AA5" s="193"/>
    </row>
    <row r="6" spans="1:28" ht="90.95">
      <c r="A6" s="148" t="s">
        <v>436</v>
      </c>
      <c r="B6" s="148" t="s">
        <v>437</v>
      </c>
      <c r="C6" s="148" t="s">
        <v>438</v>
      </c>
      <c r="D6" s="185">
        <v>0.75</v>
      </c>
      <c r="E6" s="149" t="s">
        <v>158</v>
      </c>
      <c r="F6" s="148" t="s">
        <v>439</v>
      </c>
      <c r="G6" s="150" t="s">
        <v>440</v>
      </c>
      <c r="H6" s="148" t="s">
        <v>441</v>
      </c>
      <c r="I6" s="148" t="s">
        <v>162</v>
      </c>
      <c r="J6" s="187">
        <f>212058*1.02</f>
        <v>216299.16</v>
      </c>
      <c r="K6" s="188">
        <v>100000</v>
      </c>
      <c r="L6" s="151">
        <v>0.75</v>
      </c>
      <c r="M6" s="190">
        <v>0.2</v>
      </c>
      <c r="N6" s="154" t="s">
        <v>164</v>
      </c>
      <c r="O6" s="155"/>
      <c r="P6" s="154"/>
      <c r="Q6" s="154" t="s">
        <v>162</v>
      </c>
      <c r="R6" s="154" t="s">
        <v>162</v>
      </c>
      <c r="S6" s="154" t="s">
        <v>102</v>
      </c>
      <c r="T6" s="154"/>
      <c r="U6" s="156">
        <v>37463.1</v>
      </c>
      <c r="V6" s="156" t="s">
        <v>164</v>
      </c>
      <c r="W6" s="154"/>
      <c r="X6" s="192">
        <f t="shared" si="0"/>
        <v>31112.184999999998</v>
      </c>
      <c r="Y6" s="192">
        <f t="shared" si="1"/>
        <v>8369.1777650000004</v>
      </c>
      <c r="Z6" s="192">
        <f t="shared" ref="Z6:Z22" si="3">X6+Y6</f>
        <v>39481.362764999998</v>
      </c>
      <c r="AA6" s="193"/>
    </row>
    <row r="7" spans="1:28" ht="90.95">
      <c r="A7" s="148" t="s">
        <v>436</v>
      </c>
      <c r="B7" s="148" t="s">
        <v>437</v>
      </c>
      <c r="C7" s="159" t="s">
        <v>442</v>
      </c>
      <c r="D7" s="185">
        <v>0.75</v>
      </c>
      <c r="E7" s="149" t="s">
        <v>158</v>
      </c>
      <c r="F7" s="159" t="s">
        <v>443</v>
      </c>
      <c r="G7" s="199" t="s">
        <v>444</v>
      </c>
      <c r="H7" s="159" t="s">
        <v>445</v>
      </c>
      <c r="I7" s="159" t="s">
        <v>23</v>
      </c>
      <c r="J7" s="194">
        <v>212058</v>
      </c>
      <c r="K7" s="188">
        <v>100000</v>
      </c>
      <c r="L7" s="151">
        <v>0.75</v>
      </c>
      <c r="M7" s="198">
        <v>0.25</v>
      </c>
      <c r="N7" s="154" t="s">
        <v>23</v>
      </c>
      <c r="O7" s="155" t="s">
        <v>446</v>
      </c>
      <c r="P7" s="156">
        <v>22478.959999999999</v>
      </c>
      <c r="Q7" s="156" t="s">
        <v>23</v>
      </c>
      <c r="R7" s="156" t="s">
        <v>23</v>
      </c>
      <c r="S7" s="156" t="s">
        <v>218</v>
      </c>
      <c r="T7" s="156"/>
      <c r="U7" s="156">
        <v>50000</v>
      </c>
      <c r="V7" s="156" t="s">
        <v>21</v>
      </c>
      <c r="W7" s="156"/>
      <c r="X7" s="192">
        <f t="shared" si="0"/>
        <v>29521.75</v>
      </c>
      <c r="Y7" s="192">
        <f t="shared" si="1"/>
        <v>7941.3507500000005</v>
      </c>
      <c r="Z7" s="192">
        <f t="shared" si="3"/>
        <v>37463.100749999998</v>
      </c>
      <c r="AA7" s="193"/>
    </row>
    <row r="8" spans="1:28" ht="51.95">
      <c r="A8" s="148" t="s">
        <v>436</v>
      </c>
      <c r="B8" s="148" t="s">
        <v>447</v>
      </c>
      <c r="C8" s="148" t="s">
        <v>448</v>
      </c>
      <c r="D8" s="149">
        <v>0.5</v>
      </c>
      <c r="E8" s="149" t="s">
        <v>158</v>
      </c>
      <c r="F8" s="148" t="s">
        <v>449</v>
      </c>
      <c r="G8" s="150" t="s">
        <v>450</v>
      </c>
      <c r="H8" s="148" t="s">
        <v>451</v>
      </c>
      <c r="I8" s="148" t="s">
        <v>23</v>
      </c>
      <c r="J8" s="187">
        <v>236194</v>
      </c>
      <c r="K8" s="188">
        <v>74825</v>
      </c>
      <c r="L8" s="151">
        <v>0.5</v>
      </c>
      <c r="M8" s="153">
        <v>0.25</v>
      </c>
      <c r="N8" s="154" t="s">
        <v>21</v>
      </c>
      <c r="O8" s="155"/>
      <c r="P8" s="154"/>
      <c r="Q8" s="154" t="s">
        <v>23</v>
      </c>
      <c r="R8" s="154" t="s">
        <v>23</v>
      </c>
      <c r="S8" s="154" t="s">
        <v>218</v>
      </c>
      <c r="T8" s="154"/>
      <c r="U8" s="156">
        <v>95506</v>
      </c>
      <c r="V8" s="156" t="s">
        <v>23</v>
      </c>
      <c r="W8" s="154"/>
      <c r="X8" s="192">
        <f t="shared" si="0"/>
        <v>21636</v>
      </c>
      <c r="Y8" s="192">
        <f t="shared" si="1"/>
        <v>5820.0840000000007</v>
      </c>
      <c r="Z8" s="192">
        <f t="shared" si="3"/>
        <v>27456.084000000003</v>
      </c>
      <c r="AA8" s="193"/>
    </row>
    <row r="9" spans="1:28" ht="78">
      <c r="A9" s="148" t="s">
        <v>436</v>
      </c>
      <c r="B9" s="148" t="s">
        <v>447</v>
      </c>
      <c r="C9" s="148" t="s">
        <v>452</v>
      </c>
      <c r="D9" s="185">
        <v>0.75</v>
      </c>
      <c r="E9" s="149" t="s">
        <v>158</v>
      </c>
      <c r="F9" s="148" t="s">
        <v>453</v>
      </c>
      <c r="G9" s="150" t="s">
        <v>454</v>
      </c>
      <c r="H9" s="148" t="s">
        <v>455</v>
      </c>
      <c r="I9" s="148" t="s">
        <v>23</v>
      </c>
      <c r="J9" s="187">
        <v>212058</v>
      </c>
      <c r="K9" s="188">
        <v>100000</v>
      </c>
      <c r="L9" s="151">
        <v>0.75</v>
      </c>
      <c r="M9" s="153">
        <v>0.5</v>
      </c>
      <c r="N9" s="154" t="s">
        <v>23</v>
      </c>
      <c r="O9" s="155" t="s">
        <v>456</v>
      </c>
      <c r="P9" s="154">
        <v>28088</v>
      </c>
      <c r="Q9" s="154" t="s">
        <v>23</v>
      </c>
      <c r="R9" s="154" t="s">
        <v>23</v>
      </c>
      <c r="S9" s="154" t="s">
        <v>212</v>
      </c>
      <c r="T9" s="154"/>
      <c r="U9" s="156">
        <v>100000</v>
      </c>
      <c r="V9" s="156" t="s">
        <v>21</v>
      </c>
      <c r="W9" s="154"/>
      <c r="X9" s="192">
        <f t="shared" si="0"/>
        <v>29521.75</v>
      </c>
      <c r="Y9" s="192">
        <f t="shared" si="1"/>
        <v>7941.3507500000005</v>
      </c>
      <c r="Z9" s="192">
        <f t="shared" si="3"/>
        <v>37463.100749999998</v>
      </c>
      <c r="AA9" s="193"/>
    </row>
    <row r="10" spans="1:28" ht="143.1">
      <c r="A10" s="148" t="s">
        <v>436</v>
      </c>
      <c r="B10" s="148" t="s">
        <v>447</v>
      </c>
      <c r="C10" s="148" t="s">
        <v>457</v>
      </c>
      <c r="D10" s="149"/>
      <c r="E10" s="149" t="s">
        <v>158</v>
      </c>
      <c r="F10" s="148" t="s">
        <v>458</v>
      </c>
      <c r="G10" s="150" t="s">
        <v>459</v>
      </c>
      <c r="H10" s="148" t="s">
        <v>460</v>
      </c>
      <c r="I10" s="148" t="s">
        <v>23</v>
      </c>
      <c r="J10" s="187">
        <v>160000</v>
      </c>
      <c r="K10" s="188">
        <v>105095</v>
      </c>
      <c r="L10" s="151">
        <v>0.75</v>
      </c>
      <c r="M10" s="153">
        <v>0.5</v>
      </c>
      <c r="N10" s="154" t="s">
        <v>21</v>
      </c>
      <c r="O10" s="155"/>
      <c r="P10" s="154"/>
      <c r="Q10" s="154" t="s">
        <v>23</v>
      </c>
      <c r="R10" s="154" t="s">
        <v>23</v>
      </c>
      <c r="S10" s="154" t="s">
        <v>212</v>
      </c>
      <c r="T10" s="154"/>
      <c r="U10" s="191">
        <v>105095</v>
      </c>
      <c r="V10" s="156" t="s">
        <v>21</v>
      </c>
      <c r="W10" s="154"/>
      <c r="X10" s="192">
        <f t="shared" si="0"/>
        <v>7452.5</v>
      </c>
      <c r="Y10" s="192">
        <f t="shared" si="1"/>
        <v>2004.7225000000001</v>
      </c>
      <c r="Z10" s="192">
        <f t="shared" si="3"/>
        <v>9457.2224999999999</v>
      </c>
      <c r="AA10" s="193"/>
    </row>
    <row r="11" spans="1:28" ht="65.099999999999994">
      <c r="A11" s="148" t="s">
        <v>461</v>
      </c>
      <c r="B11" s="148" t="s">
        <v>462</v>
      </c>
      <c r="C11" s="148" t="s">
        <v>463</v>
      </c>
      <c r="D11" s="149">
        <v>1</v>
      </c>
      <c r="E11" s="149" t="s">
        <v>158</v>
      </c>
      <c r="F11" s="148" t="s">
        <v>464</v>
      </c>
      <c r="G11" s="150" t="s">
        <v>465</v>
      </c>
      <c r="H11" s="148" t="s">
        <v>466</v>
      </c>
      <c r="I11" s="148" t="s">
        <v>38</v>
      </c>
      <c r="J11" s="187">
        <v>111612.5</v>
      </c>
      <c r="K11" s="188">
        <v>71</v>
      </c>
      <c r="L11" s="189">
        <v>0.75</v>
      </c>
      <c r="M11" s="153">
        <v>0</v>
      </c>
      <c r="N11" s="154" t="s">
        <v>38</v>
      </c>
      <c r="O11" s="155" t="s">
        <v>467</v>
      </c>
      <c r="P11" s="154"/>
      <c r="Q11" s="154" t="s">
        <v>38</v>
      </c>
      <c r="R11" s="154" t="s">
        <v>38</v>
      </c>
      <c r="S11" s="154" t="s">
        <v>468</v>
      </c>
      <c r="T11" s="154" t="s">
        <v>246</v>
      </c>
      <c r="U11" s="156" t="s">
        <v>38</v>
      </c>
      <c r="V11" s="156" t="s">
        <v>246</v>
      </c>
      <c r="W11" s="154"/>
      <c r="X11" s="192">
        <f t="shared" si="0"/>
        <v>41819.1875</v>
      </c>
      <c r="Y11" s="192">
        <f t="shared" si="1"/>
        <v>11249.361437500002</v>
      </c>
      <c r="Z11" s="192">
        <f t="shared" si="3"/>
        <v>53068.548937500003</v>
      </c>
      <c r="AA11" s="193"/>
    </row>
    <row r="12" spans="1:28" ht="78">
      <c r="A12" s="148" t="s">
        <v>40</v>
      </c>
      <c r="B12" s="148" t="s">
        <v>469</v>
      </c>
      <c r="C12" s="159" t="s">
        <v>393</v>
      </c>
      <c r="D12" s="197">
        <v>1</v>
      </c>
      <c r="E12" s="160" t="s">
        <v>38</v>
      </c>
      <c r="F12" s="170" t="s">
        <v>394</v>
      </c>
      <c r="G12" s="170" t="s">
        <v>395</v>
      </c>
      <c r="H12" s="169" t="s">
        <v>396</v>
      </c>
      <c r="I12" s="159" t="s">
        <v>38</v>
      </c>
      <c r="J12" s="194">
        <v>212160</v>
      </c>
      <c r="K12" s="195">
        <v>100000</v>
      </c>
      <c r="L12" s="189">
        <v>0.75</v>
      </c>
      <c r="M12" s="153">
        <v>0.25</v>
      </c>
      <c r="N12" s="154" t="s">
        <v>38</v>
      </c>
      <c r="O12" s="155" t="s">
        <v>470</v>
      </c>
      <c r="P12" s="156"/>
      <c r="Q12" s="156" t="s">
        <v>38</v>
      </c>
      <c r="R12" s="156" t="s">
        <v>38</v>
      </c>
      <c r="S12" s="156" t="s">
        <v>118</v>
      </c>
      <c r="T12" s="156" t="s">
        <v>164</v>
      </c>
      <c r="U12" s="156" t="s">
        <v>38</v>
      </c>
      <c r="V12" s="156" t="s">
        <v>246</v>
      </c>
      <c r="W12" s="156"/>
      <c r="X12" s="192">
        <f t="shared" si="0"/>
        <v>29560</v>
      </c>
      <c r="Y12" s="192">
        <f t="shared" si="1"/>
        <v>7951.64</v>
      </c>
      <c r="Z12" s="192">
        <f t="shared" si="3"/>
        <v>37511.64</v>
      </c>
      <c r="AA12" s="193"/>
    </row>
    <row r="13" spans="1:28" ht="78">
      <c r="A13" s="148" t="s">
        <v>40</v>
      </c>
      <c r="B13" s="148" t="s">
        <v>469</v>
      </c>
      <c r="C13" s="148" t="s">
        <v>471</v>
      </c>
      <c r="D13" s="197">
        <v>1</v>
      </c>
      <c r="E13" s="149" t="s">
        <v>38</v>
      </c>
      <c r="F13" s="159" t="s">
        <v>472</v>
      </c>
      <c r="G13" s="170" t="s">
        <v>473</v>
      </c>
      <c r="H13" s="169" t="s">
        <v>474</v>
      </c>
      <c r="I13" s="148" t="s">
        <v>38</v>
      </c>
      <c r="J13" s="187">
        <v>212160</v>
      </c>
      <c r="K13" s="188">
        <v>57525</v>
      </c>
      <c r="L13" s="189">
        <v>0.75</v>
      </c>
      <c r="M13" s="153">
        <v>0.25</v>
      </c>
      <c r="N13" s="154" t="s">
        <v>246</v>
      </c>
      <c r="O13" s="155"/>
      <c r="P13" s="154"/>
      <c r="Q13" s="154" t="s">
        <v>38</v>
      </c>
      <c r="R13" s="154" t="s">
        <v>38</v>
      </c>
      <c r="S13" s="154" t="s">
        <v>118</v>
      </c>
      <c r="T13" s="154" t="s">
        <v>164</v>
      </c>
      <c r="U13" s="156" t="s">
        <v>38</v>
      </c>
      <c r="V13" s="156" t="s">
        <v>246</v>
      </c>
      <c r="W13" s="154"/>
      <c r="X13" s="192">
        <f t="shared" si="0"/>
        <v>50797.5</v>
      </c>
      <c r="Y13" s="192">
        <f t="shared" si="1"/>
        <v>13664.5275</v>
      </c>
      <c r="Z13" s="192">
        <f t="shared" si="3"/>
        <v>64462.027499999997</v>
      </c>
      <c r="AA13" s="193"/>
    </row>
    <row r="14" spans="1:28" ht="39">
      <c r="A14" s="148" t="s">
        <v>40</v>
      </c>
      <c r="B14" s="148" t="s">
        <v>469</v>
      </c>
      <c r="C14" s="148" t="s">
        <v>475</v>
      </c>
      <c r="D14" s="197">
        <v>1</v>
      </c>
      <c r="E14" s="149" t="s">
        <v>38</v>
      </c>
      <c r="F14" s="159" t="s">
        <v>476</v>
      </c>
      <c r="G14" s="161" t="s">
        <v>477</v>
      </c>
      <c r="H14" s="159" t="s">
        <v>478</v>
      </c>
      <c r="I14" s="148" t="s">
        <v>479</v>
      </c>
      <c r="J14" s="187">
        <v>212160</v>
      </c>
      <c r="K14" s="188">
        <v>100000</v>
      </c>
      <c r="L14" s="189">
        <v>0.75</v>
      </c>
      <c r="M14" s="153">
        <v>0.25</v>
      </c>
      <c r="N14" s="154" t="s">
        <v>246</v>
      </c>
      <c r="O14" s="155"/>
      <c r="P14" s="154"/>
      <c r="Q14" s="154" t="s">
        <v>38</v>
      </c>
      <c r="R14" s="154" t="s">
        <v>38</v>
      </c>
      <c r="S14" s="154" t="s">
        <v>102</v>
      </c>
      <c r="T14" s="154" t="s">
        <v>164</v>
      </c>
      <c r="U14" s="156" t="s">
        <v>38</v>
      </c>
      <c r="V14" s="156" t="s">
        <v>480</v>
      </c>
      <c r="W14" s="156" t="s">
        <v>481</v>
      </c>
      <c r="X14" s="192">
        <f t="shared" si="0"/>
        <v>29560</v>
      </c>
      <c r="Y14" s="192">
        <f t="shared" si="1"/>
        <v>7951.64</v>
      </c>
      <c r="Z14" s="192">
        <f t="shared" si="3"/>
        <v>37511.64</v>
      </c>
      <c r="AA14" s="193"/>
    </row>
    <row r="15" spans="1:28" ht="78">
      <c r="A15" s="148" t="s">
        <v>40</v>
      </c>
      <c r="B15" s="148" t="s">
        <v>469</v>
      </c>
      <c r="C15" s="148" t="s">
        <v>482</v>
      </c>
      <c r="D15" s="197">
        <v>1</v>
      </c>
      <c r="E15" s="149" t="s">
        <v>38</v>
      </c>
      <c r="F15" s="148" t="s">
        <v>483</v>
      </c>
      <c r="G15" s="150" t="s">
        <v>484</v>
      </c>
      <c r="H15" s="148" t="s">
        <v>485</v>
      </c>
      <c r="I15" s="148" t="s">
        <v>38</v>
      </c>
      <c r="J15" s="187">
        <v>200000</v>
      </c>
      <c r="K15" s="188">
        <v>64297</v>
      </c>
      <c r="L15" s="189">
        <v>0.75</v>
      </c>
      <c r="M15" s="153">
        <v>0.25</v>
      </c>
      <c r="N15" s="154" t="s">
        <v>246</v>
      </c>
      <c r="O15" s="155"/>
      <c r="P15" s="154"/>
      <c r="Q15" s="154" t="s">
        <v>38</v>
      </c>
      <c r="R15" s="154" t="s">
        <v>38</v>
      </c>
      <c r="S15" s="154" t="s">
        <v>118</v>
      </c>
      <c r="T15" s="154" t="s">
        <v>164</v>
      </c>
      <c r="U15" s="191" t="s">
        <v>246</v>
      </c>
      <c r="V15" s="156" t="s">
        <v>246</v>
      </c>
      <c r="W15" s="154" t="s">
        <v>486</v>
      </c>
      <c r="X15" s="192">
        <f t="shared" si="0"/>
        <v>42851.5</v>
      </c>
      <c r="Y15" s="192">
        <f t="shared" si="1"/>
        <v>11527.0535</v>
      </c>
      <c r="Z15" s="192">
        <f t="shared" si="3"/>
        <v>54378.553500000002</v>
      </c>
      <c r="AA15" s="193"/>
    </row>
    <row r="16" spans="1:28" ht="90.95">
      <c r="A16" s="148" t="s">
        <v>40</v>
      </c>
      <c r="B16" s="148" t="s">
        <v>469</v>
      </c>
      <c r="C16" s="148" t="s">
        <v>487</v>
      </c>
      <c r="D16" s="185">
        <v>1</v>
      </c>
      <c r="E16" s="149" t="s">
        <v>488</v>
      </c>
      <c r="F16" s="148" t="s">
        <v>489</v>
      </c>
      <c r="G16" s="186" t="s">
        <v>490</v>
      </c>
      <c r="H16" s="148" t="s">
        <v>491</v>
      </c>
      <c r="I16" s="148" t="s">
        <v>38</v>
      </c>
      <c r="J16" s="187">
        <f>213180*1.02</f>
        <v>217443.6</v>
      </c>
      <c r="K16" s="188">
        <v>100000</v>
      </c>
      <c r="L16" s="189">
        <v>0.75</v>
      </c>
      <c r="M16" s="190">
        <v>0.25</v>
      </c>
      <c r="N16" s="154" t="s">
        <v>246</v>
      </c>
      <c r="O16" s="155"/>
      <c r="P16" s="154"/>
      <c r="Q16" s="154" t="s">
        <v>38</v>
      </c>
      <c r="R16" s="154" t="s">
        <v>38</v>
      </c>
      <c r="S16" s="154" t="s">
        <v>212</v>
      </c>
      <c r="T16" s="154" t="s">
        <v>21</v>
      </c>
      <c r="U16" s="156" t="s">
        <v>21</v>
      </c>
      <c r="V16" s="156" t="s">
        <v>21</v>
      </c>
      <c r="W16" s="154"/>
      <c r="X16" s="192">
        <f t="shared" si="0"/>
        <v>31541.350000000006</v>
      </c>
      <c r="Y16" s="192">
        <f t="shared" si="1"/>
        <v>8484.6231500000013</v>
      </c>
      <c r="Z16" s="192">
        <f t="shared" si="3"/>
        <v>40025.973150000005</v>
      </c>
      <c r="AA16" s="193"/>
    </row>
    <row r="17" spans="1:27" ht="78">
      <c r="A17" s="148" t="s">
        <v>62</v>
      </c>
      <c r="B17" s="148" t="s">
        <v>367</v>
      </c>
      <c r="C17" s="148" t="s">
        <v>492</v>
      </c>
      <c r="D17" s="185">
        <v>1</v>
      </c>
      <c r="E17" s="149" t="s">
        <v>242</v>
      </c>
      <c r="F17" s="148" t="s">
        <v>493</v>
      </c>
      <c r="G17" s="186" t="s">
        <v>376</v>
      </c>
      <c r="H17" s="148" t="s">
        <v>494</v>
      </c>
      <c r="I17" s="148" t="s">
        <v>162</v>
      </c>
      <c r="J17" s="187">
        <f>186701*1.02</f>
        <v>190435.02</v>
      </c>
      <c r="K17" s="188">
        <v>100000</v>
      </c>
      <c r="L17" s="189">
        <v>0.75</v>
      </c>
      <c r="M17" s="190">
        <v>0.2</v>
      </c>
      <c r="N17" s="154"/>
      <c r="O17" s="155" t="s">
        <v>495</v>
      </c>
      <c r="P17" s="154" t="s">
        <v>496</v>
      </c>
      <c r="Q17" s="154" t="s">
        <v>162</v>
      </c>
      <c r="R17" s="154" t="s">
        <v>162</v>
      </c>
      <c r="S17" s="154" t="s">
        <v>118</v>
      </c>
      <c r="T17" s="154" t="s">
        <v>164</v>
      </c>
      <c r="U17" s="156" t="s">
        <v>162</v>
      </c>
      <c r="V17" s="156" t="s">
        <v>164</v>
      </c>
      <c r="W17" s="154"/>
      <c r="X17" s="192">
        <f t="shared" si="0"/>
        <v>21413.132499999992</v>
      </c>
      <c r="Y17" s="192">
        <f t="shared" si="1"/>
        <v>5760.1326424999979</v>
      </c>
      <c r="Z17" s="192">
        <f t="shared" si="3"/>
        <v>27173.265142499989</v>
      </c>
      <c r="AA17" s="193"/>
    </row>
    <row r="18" spans="1:27" ht="51.95">
      <c r="A18" s="148" t="s">
        <v>62</v>
      </c>
      <c r="B18" s="159" t="s">
        <v>367</v>
      </c>
      <c r="C18" s="159" t="s">
        <v>285</v>
      </c>
      <c r="D18" s="197">
        <v>1</v>
      </c>
      <c r="E18" s="160" t="s">
        <v>242</v>
      </c>
      <c r="F18" s="159" t="s">
        <v>497</v>
      </c>
      <c r="G18" s="161" t="s">
        <v>216</v>
      </c>
      <c r="H18" s="161" t="s">
        <v>498</v>
      </c>
      <c r="I18" s="159" t="s">
        <v>499</v>
      </c>
      <c r="J18" s="194">
        <f>201552*1.02</f>
        <v>205583.04</v>
      </c>
      <c r="K18" s="195">
        <v>100000</v>
      </c>
      <c r="L18" s="189">
        <v>0.75</v>
      </c>
      <c r="M18" s="198">
        <v>0.05</v>
      </c>
      <c r="N18" s="154" t="s">
        <v>162</v>
      </c>
      <c r="O18" s="155" t="s">
        <v>500</v>
      </c>
      <c r="P18" s="156"/>
      <c r="Q18" s="156" t="s">
        <v>162</v>
      </c>
      <c r="R18" s="156" t="s">
        <v>162</v>
      </c>
      <c r="S18" s="156" t="s">
        <v>118</v>
      </c>
      <c r="T18" s="156" t="s">
        <v>162</v>
      </c>
      <c r="U18" s="156" t="s">
        <v>162</v>
      </c>
      <c r="V18" s="156" t="s">
        <v>164</v>
      </c>
      <c r="W18" s="156"/>
      <c r="X18" s="192">
        <f t="shared" si="0"/>
        <v>27093.64</v>
      </c>
      <c r="Y18" s="192">
        <f t="shared" si="1"/>
        <v>7288.1891599999999</v>
      </c>
      <c r="Z18" s="192">
        <f t="shared" si="3"/>
        <v>34381.829160000001</v>
      </c>
      <c r="AA18" s="193"/>
    </row>
    <row r="19" spans="1:27" ht="78">
      <c r="A19" s="148" t="s">
        <v>62</v>
      </c>
      <c r="B19" s="148" t="s">
        <v>367</v>
      </c>
      <c r="C19" s="148" t="s">
        <v>501</v>
      </c>
      <c r="D19" s="149">
        <v>1</v>
      </c>
      <c r="E19" s="149" t="s">
        <v>242</v>
      </c>
      <c r="F19" s="148" t="s">
        <v>502</v>
      </c>
      <c r="G19" s="150" t="s">
        <v>503</v>
      </c>
      <c r="H19" s="148" t="s">
        <v>504</v>
      </c>
      <c r="I19" s="148" t="s">
        <v>162</v>
      </c>
      <c r="J19" s="187">
        <f>186701*1.02</f>
        <v>190435.02</v>
      </c>
      <c r="K19" s="188">
        <v>90000</v>
      </c>
      <c r="L19" s="189">
        <v>0.75</v>
      </c>
      <c r="M19" s="153">
        <v>0.05</v>
      </c>
      <c r="N19" s="154"/>
      <c r="O19" s="155" t="s">
        <v>495</v>
      </c>
      <c r="P19" s="154" t="s">
        <v>505</v>
      </c>
      <c r="Q19" s="154" t="s">
        <v>162</v>
      </c>
      <c r="R19" s="154" t="s">
        <v>162</v>
      </c>
      <c r="S19" s="154" t="s">
        <v>118</v>
      </c>
      <c r="T19" s="154" t="s">
        <v>164</v>
      </c>
      <c r="U19" s="156" t="s">
        <v>162</v>
      </c>
      <c r="V19" s="156" t="s">
        <v>164</v>
      </c>
      <c r="W19" s="154"/>
      <c r="X19" s="192">
        <f t="shared" si="0"/>
        <v>26413.132499999992</v>
      </c>
      <c r="Y19" s="192">
        <f t="shared" si="1"/>
        <v>7105.1326424999988</v>
      </c>
      <c r="Z19" s="192">
        <f t="shared" si="3"/>
        <v>33518.265142499993</v>
      </c>
      <c r="AA19" s="193"/>
    </row>
    <row r="20" spans="1:27">
      <c r="A20" s="148" t="s">
        <v>506</v>
      </c>
      <c r="B20" s="148" t="s">
        <v>408</v>
      </c>
      <c r="C20" s="148" t="s">
        <v>311</v>
      </c>
      <c r="D20" s="185">
        <v>1</v>
      </c>
      <c r="E20" s="149" t="s">
        <v>23</v>
      </c>
      <c r="F20" s="148" t="s">
        <v>507</v>
      </c>
      <c r="G20" s="148" t="s">
        <v>508</v>
      </c>
      <c r="H20" s="148" t="s">
        <v>509</v>
      </c>
      <c r="I20" s="148" t="s">
        <v>21</v>
      </c>
      <c r="J20" s="187">
        <v>142041</v>
      </c>
      <c r="K20" s="188">
        <v>90000</v>
      </c>
      <c r="L20" s="151">
        <v>0.75</v>
      </c>
      <c r="M20" s="190">
        <v>0.25</v>
      </c>
      <c r="N20" s="154" t="s">
        <v>23</v>
      </c>
      <c r="O20" s="155" t="s">
        <v>510</v>
      </c>
      <c r="P20" s="154" t="s">
        <v>511</v>
      </c>
      <c r="Q20" s="154" t="s">
        <v>38</v>
      </c>
      <c r="R20" s="154" t="s">
        <v>38</v>
      </c>
      <c r="S20" s="154" t="s">
        <v>102</v>
      </c>
      <c r="T20" s="154" t="s">
        <v>21</v>
      </c>
      <c r="U20" s="156">
        <v>148889</v>
      </c>
      <c r="V20" s="156" t="s">
        <v>21</v>
      </c>
      <c r="W20" s="154"/>
      <c r="X20" s="192">
        <f t="shared" si="0"/>
        <v>8265.375</v>
      </c>
      <c r="Y20" s="192">
        <f t="shared" si="1"/>
        <v>2223.3858749999999</v>
      </c>
      <c r="Z20" s="192">
        <f t="shared" si="3"/>
        <v>10488.760875</v>
      </c>
      <c r="AA20" s="193"/>
    </row>
    <row r="21" spans="1:27" ht="26.1">
      <c r="A21" s="148" t="s">
        <v>322</v>
      </c>
      <c r="B21" s="148" t="s">
        <v>512</v>
      </c>
      <c r="C21" s="148" t="s">
        <v>323</v>
      </c>
      <c r="D21" s="149">
        <v>1</v>
      </c>
      <c r="E21" s="149" t="s">
        <v>23</v>
      </c>
      <c r="F21" s="148">
        <v>9940002460</v>
      </c>
      <c r="G21" s="150" t="s">
        <v>513</v>
      </c>
      <c r="H21" s="148" t="s">
        <v>404</v>
      </c>
      <c r="I21" s="148" t="s">
        <v>38</v>
      </c>
      <c r="J21" s="187">
        <v>206856</v>
      </c>
      <c r="K21" s="152">
        <v>100000</v>
      </c>
      <c r="L21" s="153">
        <v>0.75</v>
      </c>
      <c r="M21" s="200">
        <v>0.25</v>
      </c>
      <c r="N21" s="155" t="s">
        <v>514</v>
      </c>
      <c r="O21" s="154" t="s">
        <v>515</v>
      </c>
      <c r="P21" s="154" t="s">
        <v>38</v>
      </c>
      <c r="Q21" s="154" t="s">
        <v>38</v>
      </c>
      <c r="R21" s="154" t="s">
        <v>118</v>
      </c>
      <c r="S21" s="154" t="s">
        <v>225</v>
      </c>
      <c r="T21" s="156" t="s">
        <v>38</v>
      </c>
      <c r="U21" s="156" t="s">
        <v>246</v>
      </c>
      <c r="V21" s="154"/>
      <c r="W21" s="201"/>
      <c r="X21" s="192">
        <f>MAX(((J21*L21)-K21)/2,0)</f>
        <v>27571</v>
      </c>
      <c r="Y21" s="192">
        <f>X21*$Y$1</f>
        <v>7416.5990000000002</v>
      </c>
      <c r="Z21" s="192">
        <f>X21+Y21</f>
        <v>34987.599000000002</v>
      </c>
      <c r="AA21" s="193"/>
    </row>
    <row r="22" spans="1:27">
      <c r="A22" s="202"/>
      <c r="B22" s="202"/>
      <c r="C22" s="202"/>
      <c r="D22" s="203"/>
      <c r="E22" s="203"/>
      <c r="F22" s="202"/>
      <c r="G22" s="204"/>
      <c r="H22" s="202"/>
      <c r="I22" s="159"/>
      <c r="J22" s="194"/>
      <c r="K22" s="205"/>
      <c r="L22" s="151"/>
      <c r="M22" s="206"/>
      <c r="N22" s="201"/>
      <c r="O22" s="207"/>
      <c r="P22" s="208"/>
      <c r="Q22" s="208"/>
      <c r="R22" s="208"/>
      <c r="S22" s="208"/>
      <c r="T22" s="208"/>
      <c r="U22" s="208"/>
      <c r="V22" s="208"/>
      <c r="W22" s="208"/>
      <c r="X22" s="192">
        <f>MAX(((J22*L22)-K22)/2,0)</f>
        <v>0</v>
      </c>
      <c r="Y22" s="192">
        <f t="shared" si="1"/>
        <v>0</v>
      </c>
      <c r="Z22" s="192">
        <f t="shared" si="3"/>
        <v>0</v>
      </c>
      <c r="AA22" s="193"/>
    </row>
    <row r="23" spans="1:27">
      <c r="A23" s="202"/>
      <c r="B23" s="202"/>
      <c r="C23" s="202"/>
      <c r="D23" s="203"/>
      <c r="E23" s="203"/>
      <c r="F23" s="202"/>
      <c r="G23" s="204"/>
      <c r="H23" s="202"/>
      <c r="I23" s="159"/>
      <c r="J23" s="194"/>
      <c r="K23" s="209"/>
      <c r="L23" s="151"/>
      <c r="M23" s="206"/>
      <c r="N23" s="201"/>
      <c r="O23" s="207"/>
      <c r="P23" s="208"/>
      <c r="Q23" s="208"/>
      <c r="R23" s="208"/>
      <c r="S23" s="208"/>
      <c r="T23" s="208"/>
      <c r="U23" s="208"/>
      <c r="V23" s="208"/>
      <c r="W23" s="208"/>
      <c r="X23" s="192">
        <f>MAX(((J23*L23)-K23)/2,0)</f>
        <v>0</v>
      </c>
      <c r="Y23" s="192">
        <f t="shared" si="1"/>
        <v>0</v>
      </c>
      <c r="Z23" s="192">
        <f>X23+Y23</f>
        <v>0</v>
      </c>
      <c r="AA23" s="193"/>
    </row>
    <row r="24" spans="1:27">
      <c r="X24" s="19"/>
      <c r="Y24" s="19"/>
      <c r="Z24" s="19"/>
    </row>
    <row r="25" spans="1:27">
      <c r="W25" s="182" t="s">
        <v>413</v>
      </c>
      <c r="X25" s="183">
        <f>SUM(X3:X24)</f>
        <v>550413.25250000006</v>
      </c>
      <c r="Y25" s="183">
        <f>SUM(Y3:Y24)</f>
        <v>148061.16492249997</v>
      </c>
      <c r="Z25" s="183">
        <f>SUM(Z3:Z24)</f>
        <v>698474.41742249997</v>
      </c>
    </row>
    <row r="26" spans="1:27">
      <c r="X26" s="19"/>
      <c r="Y26" s="19"/>
      <c r="Z26" s="19"/>
    </row>
    <row r="27" spans="1:27">
      <c r="X27" s="19"/>
      <c r="Y27" s="19"/>
      <c r="Z27" s="19"/>
    </row>
    <row r="28" spans="1:27">
      <c r="X28" s="19"/>
      <c r="Y28" s="19"/>
      <c r="Z28" s="19"/>
    </row>
    <row r="29" spans="1:27">
      <c r="X29" s="19"/>
      <c r="Y29" s="19"/>
      <c r="Z29" s="19"/>
    </row>
    <row r="30" spans="1:27" ht="18">
      <c r="A30" s="33" t="s">
        <v>136</v>
      </c>
      <c r="B30" s="33"/>
      <c r="C30" s="34"/>
      <c r="D30" s="34"/>
      <c r="E30" s="34"/>
      <c r="X30" s="19"/>
      <c r="Y30" s="19"/>
      <c r="Z30" s="19"/>
    </row>
    <row r="31" spans="1:27" ht="18">
      <c r="A31" s="33"/>
      <c r="B31" s="33"/>
      <c r="C31" s="34"/>
      <c r="D31" s="34"/>
      <c r="E31" s="34"/>
      <c r="X31" s="19"/>
      <c r="Y31" s="19"/>
      <c r="Z31" s="19"/>
    </row>
    <row r="32" spans="1:27">
      <c r="A32" s="35" t="s">
        <v>137</v>
      </c>
      <c r="B32" s="35"/>
      <c r="C32" s="34"/>
      <c r="D32" s="34"/>
      <c r="E32" s="34"/>
      <c r="X32" s="19"/>
      <c r="Y32" s="19"/>
      <c r="Z32" s="19"/>
    </row>
    <row r="33" spans="1:26">
      <c r="A33" s="35" t="s">
        <v>138</v>
      </c>
      <c r="B33" s="35"/>
      <c r="C33" s="34"/>
      <c r="D33" s="34"/>
      <c r="E33" s="34"/>
      <c r="X33" s="19"/>
      <c r="Y33" s="19"/>
      <c r="Z33" s="19"/>
    </row>
    <row r="34" spans="1:26">
      <c r="A34" s="35" t="s">
        <v>139</v>
      </c>
      <c r="B34" s="35"/>
      <c r="C34" s="34"/>
      <c r="D34" s="34"/>
      <c r="E34" s="34"/>
      <c r="X34" s="19"/>
      <c r="Y34" s="19"/>
      <c r="Z34" s="19"/>
    </row>
    <row r="35" spans="1:26">
      <c r="A35" s="35" t="s">
        <v>140</v>
      </c>
      <c r="B35" s="35"/>
      <c r="C35" s="34"/>
      <c r="D35" s="34"/>
      <c r="E35" s="34"/>
      <c r="X35" s="19"/>
      <c r="Y35" s="19"/>
      <c r="Z35" s="19"/>
    </row>
    <row r="36" spans="1:26">
      <c r="A36" s="35" t="s">
        <v>141</v>
      </c>
      <c r="B36" s="35"/>
      <c r="C36" s="34"/>
      <c r="D36" s="34"/>
      <c r="E36" s="34"/>
      <c r="X36" s="19"/>
      <c r="Y36" s="19"/>
      <c r="Z36" s="19"/>
    </row>
    <row r="37" spans="1:26">
      <c r="A37" s="35" t="s">
        <v>516</v>
      </c>
      <c r="B37" s="35"/>
      <c r="C37" s="34"/>
      <c r="D37" s="34"/>
      <c r="E37" s="34"/>
      <c r="X37" s="19"/>
      <c r="Y37" s="19"/>
      <c r="Z37" s="19"/>
    </row>
    <row r="38" spans="1:26">
      <c r="A38" s="35" t="s">
        <v>517</v>
      </c>
      <c r="B38" s="35"/>
      <c r="C38" s="34"/>
      <c r="D38" s="34"/>
      <c r="E38" s="34"/>
      <c r="X38" s="19"/>
      <c r="Y38" s="19"/>
      <c r="Z38" s="19"/>
    </row>
    <row r="39" spans="1:26">
      <c r="A39" s="35" t="s">
        <v>144</v>
      </c>
      <c r="B39" s="35"/>
      <c r="C39" s="34"/>
      <c r="D39" s="34"/>
      <c r="E39" s="34"/>
      <c r="X39" s="19"/>
      <c r="Y39" s="19"/>
      <c r="Z39" s="19"/>
    </row>
    <row r="40" spans="1:26">
      <c r="A40" s="35" t="s">
        <v>145</v>
      </c>
      <c r="B40" s="35"/>
      <c r="C40" s="34"/>
      <c r="D40" s="34"/>
      <c r="E40" s="34"/>
      <c r="X40" s="19"/>
      <c r="Y40" s="19"/>
      <c r="Z40" s="19"/>
    </row>
    <row r="41" spans="1:26">
      <c r="A41" s="36" t="s">
        <v>146</v>
      </c>
      <c r="B41" s="36"/>
      <c r="C41" s="34"/>
      <c r="D41" s="34"/>
      <c r="E41" s="34"/>
      <c r="X41" s="19"/>
      <c r="Y41" s="19"/>
      <c r="Z41" s="19"/>
    </row>
    <row r="42" spans="1:26">
      <c r="X42" s="19"/>
      <c r="Y42" s="19"/>
      <c r="Z42" s="19"/>
    </row>
    <row r="43" spans="1:26">
      <c r="X43" s="19"/>
      <c r="Y43" s="19"/>
      <c r="Z43" s="19"/>
    </row>
    <row r="44" spans="1:26">
      <c r="X44" s="19"/>
      <c r="Y44" s="19"/>
      <c r="Z44" s="19"/>
    </row>
    <row r="45" spans="1:26">
      <c r="X45" s="19"/>
      <c r="Y45" s="19"/>
      <c r="Z45" s="19"/>
    </row>
    <row r="46" spans="1:26">
      <c r="X46" s="19"/>
      <c r="Y46" s="19"/>
      <c r="Z46" s="19"/>
    </row>
    <row r="47" spans="1:26">
      <c r="X47" s="19"/>
      <c r="Y47" s="19"/>
      <c r="Z47" s="19"/>
    </row>
    <row r="48" spans="1:26">
      <c r="X48" s="19"/>
      <c r="Y48" s="19"/>
      <c r="Z48" s="19"/>
    </row>
  </sheetData>
  <autoFilter ref="A2:Z18" xr:uid="{00000000-0009-0000-0000-000007000000}"/>
  <pageMargins left="0.7" right="0.7" top="0.75" bottom="0.75" header="0.3" footer="0.3"/>
  <pageSetup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50"/>
  <sheetViews>
    <sheetView zoomScale="85" zoomScaleNormal="85" workbookViewId="0">
      <pane xSplit="3" ySplit="3" topLeftCell="D4" activePane="bottomRight" state="frozen"/>
      <selection pane="bottomRight" activeCell="G4" sqref="G4"/>
      <selection pane="bottomLeft" activeCell="A3" sqref="A3"/>
      <selection pane="topRight" activeCell="D1" sqref="D1"/>
    </sheetView>
  </sheetViews>
  <sheetFormatPr defaultColWidth="8.875" defaultRowHeight="14.1"/>
  <cols>
    <col min="1" max="1" width="16.125" style="10" customWidth="1"/>
    <col min="2" max="2" width="14.25" style="10" customWidth="1"/>
    <col min="3" max="3" width="16.5" bestFit="1" customWidth="1"/>
    <col min="4" max="4" width="8.375" bestFit="1" customWidth="1"/>
    <col min="5" max="5" width="25.375" bestFit="1" customWidth="1"/>
    <col min="6" max="6" width="18.125" customWidth="1"/>
    <col min="7" max="7" width="14.875" bestFit="1" customWidth="1"/>
    <col min="8" max="8" width="19.125" customWidth="1"/>
    <col min="9" max="9" width="12.5" customWidth="1"/>
    <col min="10" max="10" width="11.5" style="138" customWidth="1"/>
    <col min="11" max="11" width="10.875" style="184" customWidth="1"/>
    <col min="12" max="12" width="10.625" style="184" customWidth="1"/>
    <col min="13" max="13" width="9.5" style="139" bestFit="1" customWidth="1"/>
    <col min="14" max="14" width="11.25" customWidth="1"/>
    <col min="15" max="15" width="20.75" customWidth="1"/>
    <col min="16" max="16" width="15.25" customWidth="1"/>
    <col min="17" max="17" width="11.5" style="17" customWidth="1"/>
    <col min="18" max="18" width="13.75" customWidth="1"/>
    <col min="19" max="19" width="7.5" customWidth="1"/>
    <col min="20" max="20" width="11.875" customWidth="1"/>
    <col min="21" max="21" width="15.5" customWidth="1"/>
    <col min="22" max="22" width="12.125" customWidth="1"/>
    <col min="23" max="23" width="15.25" customWidth="1"/>
    <col min="24" max="24" width="17" customWidth="1"/>
    <col min="25" max="26" width="17" style="212" customWidth="1"/>
    <col min="27" max="27" width="22" bestFit="1" customWidth="1"/>
    <col min="28" max="28" width="13.5" bestFit="1" customWidth="1"/>
    <col min="29" max="29" width="17.5" bestFit="1" customWidth="1"/>
    <col min="30" max="30" width="31.875" bestFit="1" customWidth="1"/>
    <col min="31" max="31" width="36.625" customWidth="1"/>
    <col min="32" max="32" width="20.125" customWidth="1"/>
    <col min="33" max="33" width="14.5" customWidth="1"/>
    <col min="34" max="34" width="14.5" bestFit="1" customWidth="1"/>
    <col min="35" max="35" width="11.25" bestFit="1" customWidth="1"/>
  </cols>
  <sheetData>
    <row r="1" spans="1:35">
      <c r="M1" s="210"/>
      <c r="X1" s="32">
        <v>45108</v>
      </c>
      <c r="Y1" s="211"/>
      <c r="Z1" s="211" t="s">
        <v>518</v>
      </c>
      <c r="AB1" s="140">
        <v>0.28899999999999998</v>
      </c>
    </row>
    <row r="2" spans="1:35">
      <c r="X2" s="32">
        <v>45473</v>
      </c>
      <c r="Z2" s="212" t="s">
        <v>519</v>
      </c>
      <c r="AB2" s="140">
        <v>0.312</v>
      </c>
    </row>
    <row r="3" spans="1:35" s="9" customFormat="1" ht="119.25" customHeight="1">
      <c r="A3" s="141" t="s">
        <v>0</v>
      </c>
      <c r="B3" s="141" t="s">
        <v>347</v>
      </c>
      <c r="C3" s="141" t="s">
        <v>1</v>
      </c>
      <c r="D3" s="142" t="s">
        <v>83</v>
      </c>
      <c r="E3" s="143" t="s">
        <v>84</v>
      </c>
      <c r="F3" s="143" t="s">
        <v>85</v>
      </c>
      <c r="G3" s="143" t="s">
        <v>86</v>
      </c>
      <c r="H3" s="143" t="s">
        <v>2</v>
      </c>
      <c r="I3" s="143" t="s">
        <v>87</v>
      </c>
      <c r="J3" s="144" t="s">
        <v>520</v>
      </c>
      <c r="K3" s="144" t="s">
        <v>4</v>
      </c>
      <c r="L3" s="144" t="s">
        <v>417</v>
      </c>
      <c r="M3" s="146" t="s">
        <v>349</v>
      </c>
      <c r="N3" s="143" t="s">
        <v>8</v>
      </c>
      <c r="O3" s="143" t="s">
        <v>89</v>
      </c>
      <c r="P3" s="143" t="s">
        <v>90</v>
      </c>
      <c r="Q3" s="143" t="s">
        <v>238</v>
      </c>
      <c r="R3" s="143" t="s">
        <v>12</v>
      </c>
      <c r="S3" s="143" t="s">
        <v>91</v>
      </c>
      <c r="T3" s="143" t="s">
        <v>239</v>
      </c>
      <c r="U3" s="143" t="s">
        <v>93</v>
      </c>
      <c r="V3" s="143" t="s">
        <v>14</v>
      </c>
      <c r="W3" s="143" t="s">
        <v>94</v>
      </c>
      <c r="X3" s="143" t="s">
        <v>521</v>
      </c>
      <c r="Y3" s="143" t="s">
        <v>522</v>
      </c>
      <c r="Z3" s="143" t="s">
        <v>523</v>
      </c>
      <c r="AA3" s="147" t="s">
        <v>5</v>
      </c>
      <c r="AB3" s="147" t="s">
        <v>350</v>
      </c>
      <c r="AC3" s="147" t="s">
        <v>351</v>
      </c>
      <c r="AD3" s="147" t="s">
        <v>418</v>
      </c>
      <c r="AE3" s="213" t="s">
        <v>524</v>
      </c>
      <c r="AF3" s="214" t="s">
        <v>525</v>
      </c>
      <c r="AG3" s="214" t="s">
        <v>526</v>
      </c>
      <c r="AH3" s="214" t="s">
        <v>527</v>
      </c>
      <c r="AI3" s="214" t="s">
        <v>528</v>
      </c>
    </row>
    <row r="4" spans="1:35" ht="117">
      <c r="A4" s="150" t="s">
        <v>318</v>
      </c>
      <c r="B4" s="150" t="s">
        <v>419</v>
      </c>
      <c r="C4" s="215" t="s">
        <v>420</v>
      </c>
      <c r="D4" s="185">
        <v>1</v>
      </c>
      <c r="E4" s="149" t="s">
        <v>421</v>
      </c>
      <c r="F4" s="148" t="s">
        <v>319</v>
      </c>
      <c r="G4" s="186" t="s">
        <v>422</v>
      </c>
      <c r="H4" s="148" t="s">
        <v>423</v>
      </c>
      <c r="I4" s="148" t="s">
        <v>21</v>
      </c>
      <c r="J4" s="187">
        <v>207870</v>
      </c>
      <c r="K4" s="188">
        <v>125000</v>
      </c>
      <c r="L4" s="216">
        <v>0.75</v>
      </c>
      <c r="M4" s="190">
        <v>0.25</v>
      </c>
      <c r="N4" s="154" t="s">
        <v>23</v>
      </c>
      <c r="O4" s="155" t="s">
        <v>424</v>
      </c>
      <c r="P4" s="154"/>
      <c r="Q4" s="154" t="s">
        <v>23</v>
      </c>
      <c r="R4" s="154" t="s">
        <v>23</v>
      </c>
      <c r="S4" s="154" t="s">
        <v>218</v>
      </c>
      <c r="T4" s="154" t="s">
        <v>21</v>
      </c>
      <c r="U4" s="191" t="s">
        <v>425</v>
      </c>
      <c r="V4" s="156" t="s">
        <v>21</v>
      </c>
      <c r="W4" s="155" t="s">
        <v>426</v>
      </c>
      <c r="X4" s="217">
        <v>45443</v>
      </c>
      <c r="Y4" s="218">
        <f>ROUND((MIN($X$2,X4)-$X$1)/30,0)</f>
        <v>11</v>
      </c>
      <c r="Z4" s="218" t="s">
        <v>518</v>
      </c>
      <c r="AA4" s="192">
        <f>MAX(((J4*L4)-K4)/2*Y4/12,0)</f>
        <v>14163.645833333334</v>
      </c>
      <c r="AB4" s="192">
        <f>AA4*INDEX($AB$1:$AB$2,MATCH(Z4,$Z$1:$Z$2))</f>
        <v>4093.2936458333334</v>
      </c>
      <c r="AC4" s="192">
        <f>AA4+AB4</f>
        <v>18256.939479166667</v>
      </c>
      <c r="AD4" s="193"/>
      <c r="AE4" s="219" t="s">
        <v>529</v>
      </c>
      <c r="AF4" s="219" t="str">
        <f>IF(Z4="Clinical","9950001330","9950001348")</f>
        <v>9950001330</v>
      </c>
      <c r="AG4" s="220" t="s">
        <v>530</v>
      </c>
      <c r="AH4" s="221">
        <v>3190050</v>
      </c>
      <c r="AI4" s="222" t="s">
        <v>531</v>
      </c>
    </row>
    <row r="5" spans="1:35" ht="65.25" customHeight="1">
      <c r="A5" s="150" t="s">
        <v>318</v>
      </c>
      <c r="B5" s="150" t="s">
        <v>419</v>
      </c>
      <c r="C5" s="202" t="s">
        <v>427</v>
      </c>
      <c r="D5" s="185">
        <v>1</v>
      </c>
      <c r="E5" s="149" t="s">
        <v>421</v>
      </c>
      <c r="F5" s="159" t="s">
        <v>428</v>
      </c>
      <c r="G5" s="161" t="s">
        <v>429</v>
      </c>
      <c r="H5" s="159" t="s">
        <v>430</v>
      </c>
      <c r="I5" s="159" t="s">
        <v>23</v>
      </c>
      <c r="J5" s="194">
        <v>197213</v>
      </c>
      <c r="K5" s="195">
        <v>100000</v>
      </c>
      <c r="L5" s="216">
        <v>0.75</v>
      </c>
      <c r="M5" s="190">
        <v>0.25</v>
      </c>
      <c r="N5" s="154" t="s">
        <v>21</v>
      </c>
      <c r="O5" s="155" t="s">
        <v>20</v>
      </c>
      <c r="P5" s="156"/>
      <c r="Q5" s="156" t="s">
        <v>23</v>
      </c>
      <c r="R5" s="156" t="s">
        <v>23</v>
      </c>
      <c r="S5" s="154" t="s">
        <v>218</v>
      </c>
      <c r="T5" s="154" t="s">
        <v>21</v>
      </c>
      <c r="U5" s="156" t="s">
        <v>21</v>
      </c>
      <c r="V5" s="156" t="s">
        <v>21</v>
      </c>
      <c r="W5" s="156"/>
      <c r="X5" s="217">
        <v>45443</v>
      </c>
      <c r="Y5" s="218">
        <f t="shared" ref="Y5:Y25" si="0">ROUND((MIN($X$2,X5)-$X$1)/30,0)</f>
        <v>11</v>
      </c>
      <c r="Z5" s="218" t="s">
        <v>518</v>
      </c>
      <c r="AA5" s="192">
        <f t="shared" ref="AA5:AA25" si="1">MAX(((J5*L5)-K5)/2*Y5/12,0)</f>
        <v>21958.635416666668</v>
      </c>
      <c r="AB5" s="192">
        <f>AA5*INDEX($AB$1:$AB$2,MATCH(Z5,$Z$1:$Z$2))</f>
        <v>6346.0456354166663</v>
      </c>
      <c r="AC5" s="192">
        <f t="shared" ref="AC5" si="2">AA5+AB5</f>
        <v>28304.681052083335</v>
      </c>
      <c r="AD5" s="223" t="s">
        <v>431</v>
      </c>
      <c r="AE5" s="224" t="s">
        <v>529</v>
      </c>
      <c r="AF5" s="224" t="str">
        <f t="shared" ref="AF5:AF25" si="3">IF(Z5="Clinical","9950001330","9950001348")</f>
        <v>9950001330</v>
      </c>
      <c r="AG5" s="220" t="s">
        <v>530</v>
      </c>
      <c r="AH5" s="221">
        <v>3190353</v>
      </c>
      <c r="AI5" s="222" t="s">
        <v>531</v>
      </c>
    </row>
    <row r="6" spans="1:35" s="246" customFormat="1" ht="51.95">
      <c r="A6" s="225" t="s">
        <v>262</v>
      </c>
      <c r="B6" s="226" t="s">
        <v>363</v>
      </c>
      <c r="C6" s="227" t="s">
        <v>432</v>
      </c>
      <c r="D6" s="228">
        <v>1</v>
      </c>
      <c r="E6" s="229" t="s">
        <v>158</v>
      </c>
      <c r="F6" s="227" t="s">
        <v>80</v>
      </c>
      <c r="G6" s="226" t="s">
        <v>433</v>
      </c>
      <c r="H6" s="227" t="s">
        <v>434</v>
      </c>
      <c r="I6" s="227" t="s">
        <v>38</v>
      </c>
      <c r="J6" s="230">
        <v>211953</v>
      </c>
      <c r="K6" s="231">
        <v>33666</v>
      </c>
      <c r="L6" s="232">
        <v>0.75</v>
      </c>
      <c r="M6" s="233">
        <v>0.25</v>
      </c>
      <c r="N6" s="234" t="s">
        <v>246</v>
      </c>
      <c r="O6" s="235"/>
      <c r="P6" s="236"/>
      <c r="Q6" s="236" t="s">
        <v>23</v>
      </c>
      <c r="R6" s="236" t="s">
        <v>38</v>
      </c>
      <c r="S6" s="236" t="s">
        <v>118</v>
      </c>
      <c r="T6" s="236" t="s">
        <v>246</v>
      </c>
      <c r="U6" s="236" t="s">
        <v>246</v>
      </c>
      <c r="V6" s="236" t="s">
        <v>246</v>
      </c>
      <c r="W6" s="237" t="s">
        <v>435</v>
      </c>
      <c r="X6" s="238">
        <v>45473</v>
      </c>
      <c r="Y6" s="239">
        <f t="shared" si="0"/>
        <v>12</v>
      </c>
      <c r="Z6" s="239" t="s">
        <v>518</v>
      </c>
      <c r="AA6" s="240">
        <f t="shared" si="1"/>
        <v>62649.375</v>
      </c>
      <c r="AB6" s="240">
        <f t="shared" ref="AB6:AB10" si="4">AA6*INDEX($AB$1:$AB$2,MATCH(Z6,$Z$1:$Z$2))</f>
        <v>18105.669374999998</v>
      </c>
      <c r="AC6" s="240">
        <f>AA6+AB6</f>
        <v>80755.044374999998</v>
      </c>
      <c r="AD6" s="241"/>
      <c r="AE6" s="242" t="s">
        <v>532</v>
      </c>
      <c r="AF6" s="242" t="str">
        <f t="shared" si="3"/>
        <v>9950001330</v>
      </c>
      <c r="AG6" s="243" t="s">
        <v>530</v>
      </c>
      <c r="AH6" s="244">
        <v>3190948</v>
      </c>
      <c r="AI6" s="245" t="s">
        <v>531</v>
      </c>
    </row>
    <row r="7" spans="1:35" ht="90.95">
      <c r="A7" s="150" t="s">
        <v>436</v>
      </c>
      <c r="B7" s="150" t="s">
        <v>437</v>
      </c>
      <c r="C7" s="215" t="s">
        <v>438</v>
      </c>
      <c r="D7" s="185">
        <v>0.75</v>
      </c>
      <c r="E7" s="149" t="s">
        <v>158</v>
      </c>
      <c r="F7" s="148" t="s">
        <v>439</v>
      </c>
      <c r="G7" s="150" t="s">
        <v>440</v>
      </c>
      <c r="H7" s="148" t="s">
        <v>441</v>
      </c>
      <c r="I7" s="148" t="s">
        <v>162</v>
      </c>
      <c r="J7" s="187">
        <v>218419.74</v>
      </c>
      <c r="K7" s="188">
        <v>100000</v>
      </c>
      <c r="L7" s="188">
        <v>0.75</v>
      </c>
      <c r="M7" s="190">
        <v>0.2</v>
      </c>
      <c r="N7" s="154" t="s">
        <v>164</v>
      </c>
      <c r="O7" s="155"/>
      <c r="P7" s="154"/>
      <c r="Q7" s="154" t="s">
        <v>162</v>
      </c>
      <c r="R7" s="154" t="s">
        <v>162</v>
      </c>
      <c r="S7" s="154" t="s">
        <v>102</v>
      </c>
      <c r="T7" s="154"/>
      <c r="U7" s="156">
        <v>37463.1</v>
      </c>
      <c r="V7" s="156" t="s">
        <v>164</v>
      </c>
      <c r="W7" s="154"/>
      <c r="X7" s="247">
        <v>45473</v>
      </c>
      <c r="Y7" s="218">
        <f t="shared" si="0"/>
        <v>12</v>
      </c>
      <c r="Z7" s="218" t="s">
        <v>518</v>
      </c>
      <c r="AA7" s="192">
        <f t="shared" si="1"/>
        <v>31907.402499999997</v>
      </c>
      <c r="AB7" s="192">
        <f t="shared" si="4"/>
        <v>9221.2393224999978</v>
      </c>
      <c r="AC7" s="192">
        <f t="shared" ref="AC7:AC24" si="5">AA7+AB7</f>
        <v>41128.641822499994</v>
      </c>
      <c r="AD7" s="193"/>
      <c r="AE7" s="219" t="s">
        <v>529</v>
      </c>
      <c r="AF7" s="219" t="str">
        <f t="shared" si="3"/>
        <v>9950001330</v>
      </c>
      <c r="AG7" s="220" t="s">
        <v>530</v>
      </c>
      <c r="AH7" s="221">
        <v>3190596</v>
      </c>
      <c r="AI7" s="222" t="s">
        <v>531</v>
      </c>
    </row>
    <row r="8" spans="1:35" ht="90.95">
      <c r="A8" s="150" t="s">
        <v>436</v>
      </c>
      <c r="B8" s="150" t="s">
        <v>437</v>
      </c>
      <c r="C8" s="202" t="s">
        <v>442</v>
      </c>
      <c r="D8" s="185">
        <v>0.75</v>
      </c>
      <c r="E8" s="149" t="s">
        <v>158</v>
      </c>
      <c r="F8" s="159" t="s">
        <v>443</v>
      </c>
      <c r="G8" s="199" t="s">
        <v>444</v>
      </c>
      <c r="H8" s="159" t="s">
        <v>445</v>
      </c>
      <c r="I8" s="159" t="s">
        <v>23</v>
      </c>
      <c r="J8" s="194">
        <v>218419.63</v>
      </c>
      <c r="K8" s="188">
        <v>100000</v>
      </c>
      <c r="L8" s="188">
        <v>0.75</v>
      </c>
      <c r="M8" s="198">
        <v>0.25</v>
      </c>
      <c r="N8" s="154" t="s">
        <v>23</v>
      </c>
      <c r="O8" s="155" t="s">
        <v>446</v>
      </c>
      <c r="P8" s="156">
        <v>22478.959999999999</v>
      </c>
      <c r="Q8" s="156" t="s">
        <v>23</v>
      </c>
      <c r="R8" s="156" t="s">
        <v>23</v>
      </c>
      <c r="S8" s="156" t="s">
        <v>218</v>
      </c>
      <c r="T8" s="156"/>
      <c r="U8" s="156">
        <v>50000</v>
      </c>
      <c r="V8" s="156" t="s">
        <v>21</v>
      </c>
      <c r="W8" s="156"/>
      <c r="X8" s="247">
        <v>45473</v>
      </c>
      <c r="Y8" s="218">
        <f t="shared" si="0"/>
        <v>12</v>
      </c>
      <c r="Z8" s="218" t="s">
        <v>518</v>
      </c>
      <c r="AA8" s="192">
        <f t="shared" si="1"/>
        <v>31907.361250000002</v>
      </c>
      <c r="AB8" s="192">
        <f t="shared" si="4"/>
        <v>9221.2274012500002</v>
      </c>
      <c r="AC8" s="192">
        <f t="shared" si="5"/>
        <v>41128.58865125</v>
      </c>
      <c r="AD8" s="193"/>
      <c r="AE8" s="219" t="s">
        <v>529</v>
      </c>
      <c r="AF8" s="219" t="str">
        <f t="shared" si="3"/>
        <v>9950001330</v>
      </c>
      <c r="AG8" s="220" t="s">
        <v>530</v>
      </c>
      <c r="AH8" s="221">
        <v>3190624</v>
      </c>
      <c r="AI8" s="222" t="s">
        <v>531</v>
      </c>
    </row>
    <row r="9" spans="1:35" ht="78">
      <c r="A9" s="150" t="s">
        <v>436</v>
      </c>
      <c r="B9" s="150" t="s">
        <v>447</v>
      </c>
      <c r="C9" s="215" t="s">
        <v>452</v>
      </c>
      <c r="D9" s="185">
        <v>0.75</v>
      </c>
      <c r="E9" s="149" t="s">
        <v>158</v>
      </c>
      <c r="F9" s="148" t="s">
        <v>453</v>
      </c>
      <c r="G9" s="150" t="s">
        <v>454</v>
      </c>
      <c r="H9" s="148" t="s">
        <v>455</v>
      </c>
      <c r="I9" s="148" t="s">
        <v>23</v>
      </c>
      <c r="J9" s="187">
        <v>225836.50948989356</v>
      </c>
      <c r="K9" s="188">
        <v>100000</v>
      </c>
      <c r="L9" s="188">
        <v>0.75</v>
      </c>
      <c r="M9" s="153">
        <v>0.5</v>
      </c>
      <c r="N9" s="154" t="s">
        <v>23</v>
      </c>
      <c r="O9" s="155" t="s">
        <v>456</v>
      </c>
      <c r="P9" s="154">
        <v>28088</v>
      </c>
      <c r="Q9" s="154" t="s">
        <v>23</v>
      </c>
      <c r="R9" s="154" t="s">
        <v>23</v>
      </c>
      <c r="S9" s="154" t="s">
        <v>212</v>
      </c>
      <c r="T9" s="154"/>
      <c r="U9" s="156">
        <v>100000</v>
      </c>
      <c r="V9" s="156" t="s">
        <v>21</v>
      </c>
      <c r="W9" s="154"/>
      <c r="X9" s="247">
        <v>45473</v>
      </c>
      <c r="Y9" s="218">
        <f t="shared" si="0"/>
        <v>12</v>
      </c>
      <c r="Z9" s="218" t="s">
        <v>518</v>
      </c>
      <c r="AA9" s="192">
        <f t="shared" si="1"/>
        <v>34688.691058710087</v>
      </c>
      <c r="AB9" s="192">
        <f t="shared" si="4"/>
        <v>10025.031715967214</v>
      </c>
      <c r="AC9" s="192">
        <f t="shared" si="5"/>
        <v>44713.722774677299</v>
      </c>
      <c r="AD9" s="193"/>
      <c r="AE9" s="219" t="s">
        <v>529</v>
      </c>
      <c r="AF9" s="219" t="str">
        <f t="shared" si="3"/>
        <v>9950001330</v>
      </c>
      <c r="AG9" s="220" t="s">
        <v>530</v>
      </c>
      <c r="AH9" s="221">
        <v>3190583</v>
      </c>
      <c r="AI9" s="222" t="s">
        <v>531</v>
      </c>
    </row>
    <row r="10" spans="1:35" ht="143.1">
      <c r="A10" s="150" t="s">
        <v>436</v>
      </c>
      <c r="B10" s="150" t="s">
        <v>447</v>
      </c>
      <c r="C10" s="215" t="s">
        <v>457</v>
      </c>
      <c r="D10" s="149"/>
      <c r="E10" s="149" t="s">
        <v>158</v>
      </c>
      <c r="F10" s="148" t="s">
        <v>458</v>
      </c>
      <c r="G10" s="150" t="s">
        <v>459</v>
      </c>
      <c r="H10" s="148" t="s">
        <v>460</v>
      </c>
      <c r="I10" s="148" t="s">
        <v>23</v>
      </c>
      <c r="J10" s="187">
        <v>0</v>
      </c>
      <c r="K10" s="188">
        <v>0</v>
      </c>
      <c r="L10" s="188">
        <v>0.75</v>
      </c>
      <c r="M10" s="153">
        <v>0.5</v>
      </c>
      <c r="N10" s="154" t="s">
        <v>21</v>
      </c>
      <c r="O10" s="155"/>
      <c r="P10" s="154"/>
      <c r="Q10" s="154" t="s">
        <v>23</v>
      </c>
      <c r="R10" s="154" t="s">
        <v>23</v>
      </c>
      <c r="S10" s="154" t="s">
        <v>212</v>
      </c>
      <c r="T10" s="154"/>
      <c r="U10" s="191">
        <v>105095</v>
      </c>
      <c r="V10" s="156" t="s">
        <v>21</v>
      </c>
      <c r="W10" s="154"/>
      <c r="X10" s="247">
        <v>45473</v>
      </c>
      <c r="Y10" s="218">
        <f t="shared" si="0"/>
        <v>12</v>
      </c>
      <c r="Z10" s="218" t="s">
        <v>518</v>
      </c>
      <c r="AA10" s="192">
        <f t="shared" si="1"/>
        <v>0</v>
      </c>
      <c r="AB10" s="192">
        <f t="shared" si="4"/>
        <v>0</v>
      </c>
      <c r="AC10" s="192">
        <f t="shared" si="5"/>
        <v>0</v>
      </c>
      <c r="AD10" s="193"/>
      <c r="AE10" s="219" t="s">
        <v>529</v>
      </c>
      <c r="AF10" s="219" t="str">
        <f t="shared" si="3"/>
        <v>9950001330</v>
      </c>
      <c r="AG10" s="220" t="s">
        <v>530</v>
      </c>
      <c r="AH10" s="221">
        <v>3191624</v>
      </c>
      <c r="AI10" s="222" t="s">
        <v>531</v>
      </c>
    </row>
    <row r="11" spans="1:35" ht="65.099999999999994">
      <c r="A11" s="150" t="s">
        <v>461</v>
      </c>
      <c r="B11" s="150" t="s">
        <v>462</v>
      </c>
      <c r="C11" s="215" t="s">
        <v>463</v>
      </c>
      <c r="D11" s="149">
        <v>1</v>
      </c>
      <c r="E11" s="149" t="s">
        <v>158</v>
      </c>
      <c r="F11" s="148" t="s">
        <v>464</v>
      </c>
      <c r="G11" s="150" t="s">
        <v>465</v>
      </c>
      <c r="H11" s="148" t="s">
        <v>466</v>
      </c>
      <c r="I11" s="148" t="s">
        <v>38</v>
      </c>
      <c r="J11" s="187">
        <v>123990</v>
      </c>
      <c r="K11" s="248">
        <v>88032.9</v>
      </c>
      <c r="L11" s="249">
        <v>0.75</v>
      </c>
      <c r="M11" s="153">
        <v>0</v>
      </c>
      <c r="N11" s="154" t="s">
        <v>38</v>
      </c>
      <c r="O11" s="155" t="s">
        <v>467</v>
      </c>
      <c r="P11" s="154"/>
      <c r="Q11" s="154" t="s">
        <v>38</v>
      </c>
      <c r="R11" s="154" t="s">
        <v>38</v>
      </c>
      <c r="S11" s="154" t="s">
        <v>468</v>
      </c>
      <c r="T11" s="154" t="s">
        <v>246</v>
      </c>
      <c r="U11" s="156" t="s">
        <v>38</v>
      </c>
      <c r="V11" s="156" t="s">
        <v>246</v>
      </c>
      <c r="W11" s="154"/>
      <c r="X11" s="250">
        <v>45382</v>
      </c>
      <c r="Y11" s="218">
        <f t="shared" si="0"/>
        <v>9</v>
      </c>
      <c r="Z11" s="218" t="s">
        <v>519</v>
      </c>
      <c r="AA11" s="192">
        <f t="shared" si="1"/>
        <v>1859.8500000000022</v>
      </c>
      <c r="AB11" s="192">
        <f>AA11*INDEX($AB$1:$AB$2,MATCH(Z11,$Z$1:$Z$2))</f>
        <v>580.27320000000066</v>
      </c>
      <c r="AC11" s="192">
        <f t="shared" si="5"/>
        <v>2440.1232000000027</v>
      </c>
      <c r="AD11" s="193"/>
      <c r="AE11" s="219" t="s">
        <v>529</v>
      </c>
      <c r="AF11" s="219" t="str">
        <f t="shared" si="3"/>
        <v>9950001348</v>
      </c>
      <c r="AG11" s="220" t="s">
        <v>530</v>
      </c>
      <c r="AH11" s="221">
        <v>3190810</v>
      </c>
      <c r="AI11" s="222" t="s">
        <v>531</v>
      </c>
    </row>
    <row r="12" spans="1:35" ht="78">
      <c r="A12" s="150" t="s">
        <v>40</v>
      </c>
      <c r="B12" s="150" t="s">
        <v>533</v>
      </c>
      <c r="C12" s="202" t="s">
        <v>393</v>
      </c>
      <c r="D12" s="197">
        <v>1</v>
      </c>
      <c r="E12" s="160" t="s">
        <v>38</v>
      </c>
      <c r="F12" s="170" t="s">
        <v>394</v>
      </c>
      <c r="G12" s="170" t="s">
        <v>395</v>
      </c>
      <c r="H12" s="169" t="s">
        <v>396</v>
      </c>
      <c r="I12" s="159" t="s">
        <v>38</v>
      </c>
      <c r="J12" s="194">
        <v>218524.79999999996</v>
      </c>
      <c r="K12" s="195">
        <v>100000</v>
      </c>
      <c r="L12" s="216">
        <v>0.75</v>
      </c>
      <c r="M12" s="153">
        <v>0.25</v>
      </c>
      <c r="N12" s="154" t="s">
        <v>38</v>
      </c>
      <c r="O12" s="155" t="s">
        <v>470</v>
      </c>
      <c r="P12" s="156"/>
      <c r="Q12" s="156" t="s">
        <v>38</v>
      </c>
      <c r="R12" s="156" t="s">
        <v>38</v>
      </c>
      <c r="S12" s="156" t="s">
        <v>118</v>
      </c>
      <c r="T12" s="156" t="s">
        <v>164</v>
      </c>
      <c r="U12" s="156" t="s">
        <v>38</v>
      </c>
      <c r="V12" s="156" t="s">
        <v>246</v>
      </c>
      <c r="W12" s="156"/>
      <c r="X12" s="247">
        <v>45473</v>
      </c>
      <c r="Y12" s="218">
        <f t="shared" si="0"/>
        <v>12</v>
      </c>
      <c r="Z12" s="218" t="s">
        <v>518</v>
      </c>
      <c r="AA12" s="192">
        <f t="shared" si="1"/>
        <v>31946.799999999988</v>
      </c>
      <c r="AB12" s="192">
        <f t="shared" ref="AB12:AB25" si="6">AA12*INDEX($AB$1:$AB$2,MATCH(Z12,$Z$1:$Z$2))</f>
        <v>9232.6251999999968</v>
      </c>
      <c r="AC12" s="192">
        <f t="shared" si="5"/>
        <v>41179.425199999983</v>
      </c>
      <c r="AD12" s="193"/>
      <c r="AE12" s="219" t="s">
        <v>529</v>
      </c>
      <c r="AF12" s="219" t="str">
        <f t="shared" si="3"/>
        <v>9950001330</v>
      </c>
      <c r="AG12" s="220" t="s">
        <v>530</v>
      </c>
      <c r="AH12" s="221">
        <v>3190971</v>
      </c>
      <c r="AI12" s="222" t="s">
        <v>531</v>
      </c>
    </row>
    <row r="13" spans="1:35" ht="78">
      <c r="A13" s="150" t="s">
        <v>40</v>
      </c>
      <c r="B13" s="150" t="s">
        <v>533</v>
      </c>
      <c r="C13" s="215" t="s">
        <v>471</v>
      </c>
      <c r="D13" s="197">
        <v>1</v>
      </c>
      <c r="E13" s="149" t="s">
        <v>38</v>
      </c>
      <c r="F13" s="159" t="s">
        <v>472</v>
      </c>
      <c r="G13" s="170" t="s">
        <v>473</v>
      </c>
      <c r="H13" s="169" t="s">
        <v>474</v>
      </c>
      <c r="I13" s="148" t="s">
        <v>38</v>
      </c>
      <c r="J13" s="187">
        <v>218524.80000000002</v>
      </c>
      <c r="K13" s="188">
        <v>57525</v>
      </c>
      <c r="L13" s="216">
        <v>0.75</v>
      </c>
      <c r="M13" s="153">
        <v>0.25</v>
      </c>
      <c r="N13" s="154" t="s">
        <v>246</v>
      </c>
      <c r="O13" s="155"/>
      <c r="P13" s="154"/>
      <c r="Q13" s="154" t="s">
        <v>38</v>
      </c>
      <c r="R13" s="154" t="s">
        <v>38</v>
      </c>
      <c r="S13" s="154" t="s">
        <v>118</v>
      </c>
      <c r="T13" s="154" t="s">
        <v>164</v>
      </c>
      <c r="U13" s="156" t="s">
        <v>38</v>
      </c>
      <c r="V13" s="156" t="s">
        <v>246</v>
      </c>
      <c r="W13" s="154"/>
      <c r="X13" s="247">
        <v>45230</v>
      </c>
      <c r="Y13" s="218">
        <f t="shared" si="0"/>
        <v>4</v>
      </c>
      <c r="Z13" s="218" t="s">
        <v>518</v>
      </c>
      <c r="AA13" s="251">
        <f t="shared" si="1"/>
        <v>17728.100000000002</v>
      </c>
      <c r="AB13" s="251">
        <f t="shared" si="6"/>
        <v>5123.4209000000001</v>
      </c>
      <c r="AC13" s="251">
        <f>AA13+AB13</f>
        <v>22851.520900000003</v>
      </c>
      <c r="AD13" s="252"/>
      <c r="AE13" s="252" t="s">
        <v>534</v>
      </c>
      <c r="AF13" s="252" t="str">
        <f t="shared" si="3"/>
        <v>9950001330</v>
      </c>
      <c r="AG13" s="220" t="s">
        <v>530</v>
      </c>
      <c r="AH13" s="221">
        <v>3190676</v>
      </c>
      <c r="AI13" s="222" t="s">
        <v>531</v>
      </c>
    </row>
    <row r="14" spans="1:35" ht="39">
      <c r="A14" s="150" t="s">
        <v>40</v>
      </c>
      <c r="B14" s="150" t="s">
        <v>533</v>
      </c>
      <c r="C14" s="215" t="s">
        <v>475</v>
      </c>
      <c r="D14" s="197">
        <v>1</v>
      </c>
      <c r="E14" s="149" t="s">
        <v>38</v>
      </c>
      <c r="F14" s="159" t="s">
        <v>476</v>
      </c>
      <c r="G14" s="161" t="s">
        <v>477</v>
      </c>
      <c r="H14" s="159" t="s">
        <v>478</v>
      </c>
      <c r="I14" s="148" t="s">
        <v>479</v>
      </c>
      <c r="J14" s="187">
        <v>218524.80000000002</v>
      </c>
      <c r="K14" s="188">
        <v>100000</v>
      </c>
      <c r="L14" s="216">
        <v>0.75</v>
      </c>
      <c r="M14" s="153">
        <v>0.25</v>
      </c>
      <c r="N14" s="154" t="s">
        <v>246</v>
      </c>
      <c r="O14" s="155"/>
      <c r="P14" s="154"/>
      <c r="Q14" s="154" t="s">
        <v>38</v>
      </c>
      <c r="R14" s="154" t="s">
        <v>38</v>
      </c>
      <c r="S14" s="154" t="s">
        <v>102</v>
      </c>
      <c r="T14" s="154" t="s">
        <v>164</v>
      </c>
      <c r="U14" s="156" t="s">
        <v>38</v>
      </c>
      <c r="V14" s="156" t="s">
        <v>480</v>
      </c>
      <c r="W14" s="156" t="s">
        <v>481</v>
      </c>
      <c r="X14" s="247">
        <v>45382</v>
      </c>
      <c r="Y14" s="218">
        <f t="shared" si="0"/>
        <v>9</v>
      </c>
      <c r="Z14" s="218" t="s">
        <v>518</v>
      </c>
      <c r="AA14" s="192">
        <f t="shared" si="1"/>
        <v>23960.100000000002</v>
      </c>
      <c r="AB14" s="192">
        <f t="shared" si="6"/>
        <v>6924.4688999999998</v>
      </c>
      <c r="AC14" s="192">
        <f t="shared" si="5"/>
        <v>30884.568900000002</v>
      </c>
      <c r="AD14" s="193"/>
      <c r="AE14" s="219" t="s">
        <v>529</v>
      </c>
      <c r="AF14" s="219" t="str">
        <f t="shared" si="3"/>
        <v>9950001330</v>
      </c>
      <c r="AG14" s="220" t="s">
        <v>530</v>
      </c>
      <c r="AH14" s="221">
        <v>3190306</v>
      </c>
      <c r="AI14" s="222" t="s">
        <v>531</v>
      </c>
    </row>
    <row r="15" spans="1:35" ht="78">
      <c r="A15" s="150" t="s">
        <v>40</v>
      </c>
      <c r="B15" s="150" t="s">
        <v>533</v>
      </c>
      <c r="C15" s="215" t="s">
        <v>482</v>
      </c>
      <c r="D15" s="197">
        <v>1</v>
      </c>
      <c r="E15" s="149" t="s">
        <v>38</v>
      </c>
      <c r="F15" s="148" t="s">
        <v>483</v>
      </c>
      <c r="G15" s="150" t="s">
        <v>484</v>
      </c>
      <c r="H15" s="148" t="s">
        <v>485</v>
      </c>
      <c r="I15" s="148" t="s">
        <v>38</v>
      </c>
      <c r="J15" s="187">
        <v>202500</v>
      </c>
      <c r="K15" s="188">
        <v>64297</v>
      </c>
      <c r="L15" s="216">
        <v>0.75</v>
      </c>
      <c r="M15" s="153">
        <v>0.25</v>
      </c>
      <c r="N15" s="154" t="s">
        <v>246</v>
      </c>
      <c r="O15" s="155"/>
      <c r="P15" s="154"/>
      <c r="Q15" s="154" t="s">
        <v>38</v>
      </c>
      <c r="R15" s="154" t="s">
        <v>38</v>
      </c>
      <c r="S15" s="154" t="s">
        <v>118</v>
      </c>
      <c r="T15" s="154" t="s">
        <v>164</v>
      </c>
      <c r="U15" s="191" t="s">
        <v>246</v>
      </c>
      <c r="V15" s="156" t="s">
        <v>246</v>
      </c>
      <c r="W15" s="154" t="s">
        <v>486</v>
      </c>
      <c r="X15" s="247">
        <v>45473</v>
      </c>
      <c r="Y15" s="218">
        <f t="shared" si="0"/>
        <v>12</v>
      </c>
      <c r="Z15" s="218" t="s">
        <v>518</v>
      </c>
      <c r="AA15" s="253"/>
      <c r="AB15" s="253"/>
      <c r="AC15" s="253"/>
      <c r="AD15" s="193"/>
      <c r="AE15" s="254" t="s">
        <v>21</v>
      </c>
      <c r="AF15" s="254"/>
      <c r="AG15" s="54"/>
      <c r="AH15" s="54"/>
      <c r="AI15" s="54"/>
    </row>
    <row r="16" spans="1:35" ht="90.95">
      <c r="A16" s="150" t="s">
        <v>40</v>
      </c>
      <c r="B16" s="150" t="s">
        <v>469</v>
      </c>
      <c r="C16" s="215" t="s">
        <v>487</v>
      </c>
      <c r="D16" s="185">
        <v>1</v>
      </c>
      <c r="E16" s="149" t="s">
        <v>488</v>
      </c>
      <c r="F16" s="148" t="s">
        <v>489</v>
      </c>
      <c r="G16" s="186" t="s">
        <v>490</v>
      </c>
      <c r="H16" s="148" t="s">
        <v>491</v>
      </c>
      <c r="I16" s="148" t="s">
        <v>38</v>
      </c>
      <c r="J16" s="187">
        <v>219575</v>
      </c>
      <c r="K16" s="188">
        <v>100000</v>
      </c>
      <c r="L16" s="216">
        <v>0.75</v>
      </c>
      <c r="M16" s="190">
        <v>0.25</v>
      </c>
      <c r="N16" s="154" t="s">
        <v>246</v>
      </c>
      <c r="O16" s="155"/>
      <c r="P16" s="154"/>
      <c r="Q16" s="154" t="s">
        <v>38</v>
      </c>
      <c r="R16" s="154" t="s">
        <v>38</v>
      </c>
      <c r="S16" s="154" t="s">
        <v>212</v>
      </c>
      <c r="T16" s="154" t="s">
        <v>21</v>
      </c>
      <c r="U16" s="156" t="s">
        <v>21</v>
      </c>
      <c r="V16" s="156" t="s">
        <v>21</v>
      </c>
      <c r="W16" s="154"/>
      <c r="X16" s="247">
        <v>45473</v>
      </c>
      <c r="Y16" s="218">
        <f t="shared" si="0"/>
        <v>12</v>
      </c>
      <c r="Z16" s="218" t="s">
        <v>518</v>
      </c>
      <c r="AA16" s="192">
        <f t="shared" si="1"/>
        <v>32340.625</v>
      </c>
      <c r="AB16" s="192">
        <f t="shared" si="6"/>
        <v>9346.4406249999993</v>
      </c>
      <c r="AC16" s="192">
        <f t="shared" si="5"/>
        <v>41687.065625000003</v>
      </c>
      <c r="AD16" s="193"/>
      <c r="AE16" s="219" t="s">
        <v>529</v>
      </c>
      <c r="AF16" s="219" t="str">
        <f t="shared" si="3"/>
        <v>9950001330</v>
      </c>
      <c r="AG16" s="220" t="s">
        <v>530</v>
      </c>
      <c r="AH16" s="221">
        <v>3190666</v>
      </c>
      <c r="AI16" s="222" t="s">
        <v>531</v>
      </c>
    </row>
    <row r="17" spans="1:35" ht="90.95">
      <c r="A17" s="150" t="s">
        <v>40</v>
      </c>
      <c r="B17" s="150" t="s">
        <v>469</v>
      </c>
      <c r="C17" s="148" t="s">
        <v>535</v>
      </c>
      <c r="D17" s="185">
        <v>1</v>
      </c>
      <c r="E17" s="149" t="s">
        <v>488</v>
      </c>
      <c r="F17" s="148" t="s">
        <v>536</v>
      </c>
      <c r="G17" s="186" t="s">
        <v>490</v>
      </c>
      <c r="H17" s="148" t="s">
        <v>537</v>
      </c>
      <c r="I17" s="148" t="s">
        <v>38</v>
      </c>
      <c r="J17" s="187">
        <f>212160*1.03</f>
        <v>218524.80000000002</v>
      </c>
      <c r="K17" s="188">
        <v>100000</v>
      </c>
      <c r="L17" s="188">
        <v>0.75</v>
      </c>
      <c r="M17" s="190">
        <v>0.25</v>
      </c>
      <c r="N17" s="154" t="s">
        <v>246</v>
      </c>
      <c r="O17" s="155"/>
      <c r="P17" s="154"/>
      <c r="Q17" s="154" t="s">
        <v>38</v>
      </c>
      <c r="R17" s="154" t="s">
        <v>38</v>
      </c>
      <c r="S17" s="154" t="s">
        <v>212</v>
      </c>
      <c r="T17" s="154" t="s">
        <v>21</v>
      </c>
      <c r="U17" s="156" t="s">
        <v>38</v>
      </c>
      <c r="V17" s="156" t="s">
        <v>21</v>
      </c>
      <c r="W17" s="154"/>
      <c r="X17" s="247">
        <v>45473</v>
      </c>
      <c r="Y17" s="218">
        <f t="shared" si="0"/>
        <v>12</v>
      </c>
      <c r="Z17" s="218" t="s">
        <v>518</v>
      </c>
      <c r="AA17" s="192">
        <f t="shared" si="1"/>
        <v>31946.800000000003</v>
      </c>
      <c r="AB17" s="192">
        <f t="shared" si="6"/>
        <v>9232.6252000000004</v>
      </c>
      <c r="AC17" s="192">
        <f>AA17+AB17</f>
        <v>41179.425200000005</v>
      </c>
      <c r="AD17" s="223" t="s">
        <v>538</v>
      </c>
      <c r="AE17" s="219" t="s">
        <v>529</v>
      </c>
      <c r="AF17" s="219" t="str">
        <f t="shared" si="3"/>
        <v>9950001330</v>
      </c>
      <c r="AG17" s="220" t="s">
        <v>530</v>
      </c>
      <c r="AH17" s="221">
        <v>3190674</v>
      </c>
      <c r="AI17" s="222" t="s">
        <v>531</v>
      </c>
    </row>
    <row r="18" spans="1:35" s="269" customFormat="1" ht="78">
      <c r="A18" s="255" t="s">
        <v>40</v>
      </c>
      <c r="B18" s="255"/>
      <c r="C18" s="255" t="s">
        <v>539</v>
      </c>
      <c r="D18" s="256">
        <v>1</v>
      </c>
      <c r="E18" s="256" t="s">
        <v>488</v>
      </c>
      <c r="F18" s="255" t="s">
        <v>540</v>
      </c>
      <c r="G18" s="257" t="s">
        <v>541</v>
      </c>
      <c r="H18" s="255" t="s">
        <v>542</v>
      </c>
      <c r="I18" s="255" t="s">
        <v>38</v>
      </c>
      <c r="J18" s="258">
        <v>218525</v>
      </c>
      <c r="K18" s="259">
        <v>51132</v>
      </c>
      <c r="L18" s="260">
        <v>0.75</v>
      </c>
      <c r="M18" s="261">
        <v>0.25</v>
      </c>
      <c r="N18" s="262" t="s">
        <v>246</v>
      </c>
      <c r="O18" s="263"/>
      <c r="P18" s="262"/>
      <c r="Q18" s="262" t="s">
        <v>38</v>
      </c>
      <c r="R18" s="262" t="s">
        <v>38</v>
      </c>
      <c r="S18" s="262" t="s">
        <v>212</v>
      </c>
      <c r="T18" s="262" t="s">
        <v>21</v>
      </c>
      <c r="U18" s="264" t="s">
        <v>21</v>
      </c>
      <c r="V18" s="265" t="s">
        <v>23</v>
      </c>
      <c r="W18" s="263" t="s">
        <v>543</v>
      </c>
      <c r="X18" s="262"/>
      <c r="Y18" s="262"/>
      <c r="Z18" s="262"/>
      <c r="AA18" s="266">
        <f t="shared" ref="AA18" si="7">MAX(((J18*L18)-K18)/2,0)</f>
        <v>56380.875</v>
      </c>
      <c r="AB18" s="266">
        <f t="shared" ref="AB18" si="8">AA18*$AB$1</f>
        <v>16294.072874999998</v>
      </c>
      <c r="AC18" s="266">
        <f t="shared" ref="AC18" si="9">AA18+AB18</f>
        <v>72674.947874999998</v>
      </c>
      <c r="AD18" s="267"/>
      <c r="AE18" s="268"/>
      <c r="AF18" s="268" t="s">
        <v>544</v>
      </c>
      <c r="AG18" s="268" t="s">
        <v>530</v>
      </c>
      <c r="AH18" s="268">
        <v>3190915</v>
      </c>
      <c r="AI18" s="268" t="s">
        <v>531</v>
      </c>
    </row>
    <row r="19" spans="1:35" ht="78">
      <c r="A19" s="150" t="s">
        <v>62</v>
      </c>
      <c r="B19" s="150" t="s">
        <v>367</v>
      </c>
      <c r="C19" s="215" t="s">
        <v>492</v>
      </c>
      <c r="D19" s="185">
        <v>1</v>
      </c>
      <c r="E19" s="149" t="s">
        <v>242</v>
      </c>
      <c r="F19" s="148" t="s">
        <v>493</v>
      </c>
      <c r="G19" s="186" t="s">
        <v>376</v>
      </c>
      <c r="H19" s="148" t="s">
        <v>494</v>
      </c>
      <c r="I19" s="148" t="s">
        <v>162</v>
      </c>
      <c r="J19" s="187">
        <f>186701*1.02</f>
        <v>190435.02</v>
      </c>
      <c r="K19" s="188">
        <v>100000</v>
      </c>
      <c r="L19" s="216">
        <v>0.75</v>
      </c>
      <c r="M19" s="190">
        <v>0.2</v>
      </c>
      <c r="N19" s="154"/>
      <c r="O19" s="155" t="s">
        <v>495</v>
      </c>
      <c r="P19" s="154" t="s">
        <v>496</v>
      </c>
      <c r="Q19" s="154" t="s">
        <v>162</v>
      </c>
      <c r="R19" s="154" t="s">
        <v>162</v>
      </c>
      <c r="S19" s="154" t="s">
        <v>118</v>
      </c>
      <c r="T19" s="154" t="s">
        <v>164</v>
      </c>
      <c r="U19" s="156" t="s">
        <v>162</v>
      </c>
      <c r="V19" s="156" t="s">
        <v>164</v>
      </c>
      <c r="W19" s="154"/>
      <c r="X19" s="247">
        <v>45473</v>
      </c>
      <c r="Y19" s="218">
        <f t="shared" si="0"/>
        <v>12</v>
      </c>
      <c r="Z19" s="218" t="s">
        <v>518</v>
      </c>
      <c r="AA19" s="192">
        <f t="shared" si="1"/>
        <v>21413.132499999992</v>
      </c>
      <c r="AB19" s="192">
        <f t="shared" si="6"/>
        <v>6188.3952924999976</v>
      </c>
      <c r="AC19" s="192">
        <f t="shared" si="5"/>
        <v>27601.52779249999</v>
      </c>
      <c r="AD19" s="193"/>
      <c r="AE19" s="219" t="s">
        <v>529</v>
      </c>
      <c r="AF19" s="219" t="str">
        <f t="shared" si="3"/>
        <v>9950001330</v>
      </c>
      <c r="AG19" s="220" t="s">
        <v>530</v>
      </c>
      <c r="AH19" s="221">
        <v>3190960</v>
      </c>
      <c r="AI19" s="222" t="s">
        <v>531</v>
      </c>
    </row>
    <row r="20" spans="1:35" ht="51.95">
      <c r="A20" s="150" t="s">
        <v>62</v>
      </c>
      <c r="B20" s="161" t="s">
        <v>367</v>
      </c>
      <c r="C20" s="202" t="s">
        <v>285</v>
      </c>
      <c r="D20" s="197">
        <v>1</v>
      </c>
      <c r="E20" s="160" t="s">
        <v>242</v>
      </c>
      <c r="F20" s="159" t="s">
        <v>497</v>
      </c>
      <c r="G20" s="161" t="s">
        <v>216</v>
      </c>
      <c r="H20" s="161" t="s">
        <v>498</v>
      </c>
      <c r="I20" s="159" t="s">
        <v>499</v>
      </c>
      <c r="J20" s="194">
        <v>211320</v>
      </c>
      <c r="K20" s="195">
        <v>100000</v>
      </c>
      <c r="L20" s="216">
        <v>0.75</v>
      </c>
      <c r="M20" s="198">
        <v>0.05</v>
      </c>
      <c r="N20" s="154" t="s">
        <v>162</v>
      </c>
      <c r="O20" s="155" t="s">
        <v>500</v>
      </c>
      <c r="P20" s="156"/>
      <c r="Q20" s="156" t="s">
        <v>162</v>
      </c>
      <c r="R20" s="156" t="s">
        <v>162</v>
      </c>
      <c r="S20" s="156" t="s">
        <v>118</v>
      </c>
      <c r="T20" s="156" t="s">
        <v>162</v>
      </c>
      <c r="U20" s="156" t="s">
        <v>162</v>
      </c>
      <c r="V20" s="156" t="s">
        <v>164</v>
      </c>
      <c r="W20" s="156"/>
      <c r="X20" s="247"/>
      <c r="Y20" s="218">
        <f t="shared" si="0"/>
        <v>12</v>
      </c>
      <c r="Z20" s="218" t="s">
        <v>518</v>
      </c>
      <c r="AA20" s="253"/>
      <c r="AB20" s="253"/>
      <c r="AC20" s="253"/>
      <c r="AD20" s="193"/>
      <c r="AE20" s="254" t="s">
        <v>21</v>
      </c>
      <c r="AF20" s="254"/>
      <c r="AG20" s="54"/>
      <c r="AH20" s="54"/>
      <c r="AI20" s="54"/>
    </row>
    <row r="21" spans="1:35" ht="78">
      <c r="A21" s="150" t="s">
        <v>62</v>
      </c>
      <c r="B21" s="150" t="s">
        <v>367</v>
      </c>
      <c r="C21" s="215" t="s">
        <v>501</v>
      </c>
      <c r="D21" s="149">
        <v>1</v>
      </c>
      <c r="E21" s="149" t="s">
        <v>242</v>
      </c>
      <c r="F21" s="148" t="s">
        <v>502</v>
      </c>
      <c r="G21" s="150" t="s">
        <v>503</v>
      </c>
      <c r="H21" s="148" t="s">
        <v>504</v>
      </c>
      <c r="I21" s="148" t="s">
        <v>162</v>
      </c>
      <c r="J21" s="187">
        <f>186701*1.02</f>
        <v>190435.02</v>
      </c>
      <c r="K21" s="188">
        <v>90000</v>
      </c>
      <c r="L21" s="216">
        <v>0.75</v>
      </c>
      <c r="M21" s="153">
        <v>0.05</v>
      </c>
      <c r="N21" s="154"/>
      <c r="O21" s="155" t="s">
        <v>495</v>
      </c>
      <c r="P21" s="154" t="s">
        <v>505</v>
      </c>
      <c r="Q21" s="154" t="s">
        <v>162</v>
      </c>
      <c r="R21" s="154" t="s">
        <v>162</v>
      </c>
      <c r="S21" s="154" t="s">
        <v>118</v>
      </c>
      <c r="T21" s="154" t="s">
        <v>164</v>
      </c>
      <c r="U21" s="156" t="s">
        <v>162</v>
      </c>
      <c r="V21" s="156" t="s">
        <v>164</v>
      </c>
      <c r="W21" s="154"/>
      <c r="X21" s="250">
        <v>45473</v>
      </c>
      <c r="Y21" s="218">
        <f t="shared" si="0"/>
        <v>12</v>
      </c>
      <c r="Z21" s="218" t="s">
        <v>518</v>
      </c>
      <c r="AA21" s="192">
        <f t="shared" si="1"/>
        <v>26413.132499999992</v>
      </c>
      <c r="AB21" s="192">
        <f t="shared" si="6"/>
        <v>7633.3952924999976</v>
      </c>
      <c r="AC21" s="192">
        <f t="shared" si="5"/>
        <v>34046.52779249999</v>
      </c>
      <c r="AD21" s="193"/>
      <c r="AE21" s="219" t="s">
        <v>529</v>
      </c>
      <c r="AF21" s="219" t="str">
        <f t="shared" si="3"/>
        <v>9950001330</v>
      </c>
      <c r="AG21" s="220" t="s">
        <v>530</v>
      </c>
      <c r="AH21" s="221">
        <v>3180360</v>
      </c>
      <c r="AI21" s="222" t="s">
        <v>531</v>
      </c>
    </row>
    <row r="22" spans="1:35" ht="104.1">
      <c r="A22" s="150" t="s">
        <v>62</v>
      </c>
      <c r="B22" s="150" t="s">
        <v>545</v>
      </c>
      <c r="C22" s="148" t="s">
        <v>546</v>
      </c>
      <c r="D22" s="185">
        <v>1</v>
      </c>
      <c r="E22" s="149" t="s">
        <v>242</v>
      </c>
      <c r="F22" s="148" t="s">
        <v>547</v>
      </c>
      <c r="G22" s="150" t="s">
        <v>548</v>
      </c>
      <c r="H22" s="148" t="s">
        <v>549</v>
      </c>
      <c r="I22" s="148" t="s">
        <v>162</v>
      </c>
      <c r="J22" s="187">
        <v>175782</v>
      </c>
      <c r="K22" s="188">
        <v>100000</v>
      </c>
      <c r="L22" s="216">
        <v>0.75</v>
      </c>
      <c r="M22" s="153">
        <v>0.2</v>
      </c>
      <c r="N22" s="154"/>
      <c r="O22" s="155" t="s">
        <v>550</v>
      </c>
      <c r="P22" s="154" t="s">
        <v>551</v>
      </c>
      <c r="Q22" s="154" t="s">
        <v>162</v>
      </c>
      <c r="R22" s="154" t="s">
        <v>162</v>
      </c>
      <c r="S22" s="154" t="s">
        <v>102</v>
      </c>
      <c r="T22" s="154" t="s">
        <v>164</v>
      </c>
      <c r="U22" s="156" t="s">
        <v>164</v>
      </c>
      <c r="V22" s="156" t="s">
        <v>164</v>
      </c>
      <c r="W22" s="154"/>
      <c r="X22" s="250">
        <v>45473</v>
      </c>
      <c r="Y22" s="218">
        <f t="shared" si="0"/>
        <v>12</v>
      </c>
      <c r="Z22" s="218" t="s">
        <v>518</v>
      </c>
      <c r="AA22" s="192">
        <f t="shared" si="1"/>
        <v>15918.25</v>
      </c>
      <c r="AB22" s="192">
        <f t="shared" si="6"/>
        <v>4600.3742499999998</v>
      </c>
      <c r="AC22" s="192">
        <f t="shared" si="5"/>
        <v>20518.624250000001</v>
      </c>
      <c r="AD22" s="193"/>
      <c r="AE22" s="219" t="s">
        <v>529</v>
      </c>
      <c r="AF22" s="219" t="str">
        <f t="shared" si="3"/>
        <v>9950001330</v>
      </c>
      <c r="AG22" s="220" t="s">
        <v>530</v>
      </c>
      <c r="AH22" s="221">
        <v>3191680</v>
      </c>
      <c r="AI22" s="222" t="s">
        <v>531</v>
      </c>
    </row>
    <row r="23" spans="1:35" s="269" customFormat="1" ht="78">
      <c r="A23" s="255" t="s">
        <v>62</v>
      </c>
      <c r="B23" s="255" t="s">
        <v>367</v>
      </c>
      <c r="C23" s="255" t="s">
        <v>552</v>
      </c>
      <c r="D23" s="270">
        <v>1</v>
      </c>
      <c r="E23" s="256" t="s">
        <v>62</v>
      </c>
      <c r="F23" s="255" t="s">
        <v>553</v>
      </c>
      <c r="G23" s="271" t="s">
        <v>554</v>
      </c>
      <c r="H23" s="255" t="s">
        <v>555</v>
      </c>
      <c r="I23" s="255" t="s">
        <v>162</v>
      </c>
      <c r="J23" s="272">
        <v>177416.93958219199</v>
      </c>
      <c r="K23" s="273">
        <v>75000</v>
      </c>
      <c r="L23" s="260">
        <v>0.75</v>
      </c>
      <c r="M23" s="274">
        <v>0.2</v>
      </c>
      <c r="N23" s="262" t="s">
        <v>162</v>
      </c>
      <c r="O23" s="263" t="s">
        <v>556</v>
      </c>
      <c r="P23" s="262">
        <v>50000</v>
      </c>
      <c r="Q23" s="262" t="s">
        <v>23</v>
      </c>
      <c r="R23" s="262" t="s">
        <v>23</v>
      </c>
      <c r="S23" s="262" t="s">
        <v>102</v>
      </c>
      <c r="T23" s="262" t="s">
        <v>164</v>
      </c>
      <c r="U23" s="265" t="s">
        <v>164</v>
      </c>
      <c r="V23" s="265" t="s">
        <v>164</v>
      </c>
      <c r="W23" s="262"/>
      <c r="X23" s="262"/>
      <c r="Y23" s="262"/>
      <c r="Z23" s="262"/>
      <c r="AA23" s="266">
        <f t="shared" ref="AA23" si="10">MAX(((J23*L23)-K23)/2,0)</f>
        <v>29031.352343321996</v>
      </c>
      <c r="AB23" s="266">
        <f t="shared" ref="AB23" si="11">AA23*$AB$1</f>
        <v>8390.060827220057</v>
      </c>
      <c r="AC23" s="266">
        <f>AA23+AB23</f>
        <v>37421.413170542051</v>
      </c>
      <c r="AD23" s="267"/>
      <c r="AE23" s="267"/>
      <c r="AF23" s="268" t="s">
        <v>544</v>
      </c>
      <c r="AG23" s="268" t="s">
        <v>530</v>
      </c>
      <c r="AH23" s="268">
        <v>3190967</v>
      </c>
      <c r="AI23" s="268" t="s">
        <v>531</v>
      </c>
    </row>
    <row r="24" spans="1:35" ht="26.1">
      <c r="A24" s="150" t="s">
        <v>506</v>
      </c>
      <c r="B24" s="150" t="s">
        <v>408</v>
      </c>
      <c r="C24" s="215" t="s">
        <v>311</v>
      </c>
      <c r="D24" s="185">
        <v>1</v>
      </c>
      <c r="E24" s="149" t="s">
        <v>23</v>
      </c>
      <c r="F24" s="148" t="s">
        <v>507</v>
      </c>
      <c r="G24" s="148" t="s">
        <v>508</v>
      </c>
      <c r="H24" s="148" t="s">
        <v>509</v>
      </c>
      <c r="I24" s="148" t="s">
        <v>21</v>
      </c>
      <c r="J24" s="187">
        <v>142041</v>
      </c>
      <c r="K24" s="188">
        <v>90000</v>
      </c>
      <c r="L24" s="216">
        <v>0.75</v>
      </c>
      <c r="M24" s="275">
        <v>0</v>
      </c>
      <c r="N24" s="154" t="s">
        <v>23</v>
      </c>
      <c r="O24" s="155" t="s">
        <v>510</v>
      </c>
      <c r="P24" s="154" t="s">
        <v>511</v>
      </c>
      <c r="Q24" s="154" t="s">
        <v>38</v>
      </c>
      <c r="R24" s="154" t="s">
        <v>38</v>
      </c>
      <c r="S24" s="154" t="s">
        <v>102</v>
      </c>
      <c r="T24" s="154" t="s">
        <v>21</v>
      </c>
      <c r="U24" s="156">
        <v>148889</v>
      </c>
      <c r="V24" s="156" t="s">
        <v>21</v>
      </c>
      <c r="W24" s="154"/>
      <c r="X24" s="250">
        <v>45260</v>
      </c>
      <c r="Y24" s="218">
        <f t="shared" si="0"/>
        <v>5</v>
      </c>
      <c r="Z24" s="218" t="s">
        <v>519</v>
      </c>
      <c r="AA24" s="192">
        <f>MAX(((J24*L24)-K24)/2*Y24/12,0)</f>
        <v>3443.90625</v>
      </c>
      <c r="AB24" s="192">
        <f t="shared" si="6"/>
        <v>1074.49875</v>
      </c>
      <c r="AC24" s="192">
        <f t="shared" si="5"/>
        <v>4518.4049999999997</v>
      </c>
      <c r="AD24" s="193"/>
      <c r="AE24" s="219" t="s">
        <v>529</v>
      </c>
      <c r="AF24" s="219" t="str">
        <f t="shared" si="3"/>
        <v>9950001348</v>
      </c>
      <c r="AG24" s="220" t="s">
        <v>530</v>
      </c>
      <c r="AH24" s="221">
        <v>3190966</v>
      </c>
      <c r="AI24" s="222" t="s">
        <v>531</v>
      </c>
    </row>
    <row r="25" spans="1:35" ht="39">
      <c r="A25" s="150" t="s">
        <v>322</v>
      </c>
      <c r="B25" s="150" t="s">
        <v>512</v>
      </c>
      <c r="C25" s="148" t="s">
        <v>323</v>
      </c>
      <c r="D25" s="149">
        <v>1</v>
      </c>
      <c r="E25" s="149" t="s">
        <v>23</v>
      </c>
      <c r="F25" s="148">
        <v>9940002460</v>
      </c>
      <c r="G25" s="150" t="s">
        <v>513</v>
      </c>
      <c r="H25" s="148" t="s">
        <v>404</v>
      </c>
      <c r="I25" s="148" t="s">
        <v>38</v>
      </c>
      <c r="J25" s="187">
        <v>213056.28101702881</v>
      </c>
      <c r="K25" s="152">
        <v>100000</v>
      </c>
      <c r="L25" s="216">
        <v>0.75</v>
      </c>
      <c r="M25" s="200">
        <v>0.25</v>
      </c>
      <c r="N25" s="155" t="s">
        <v>514</v>
      </c>
      <c r="O25" s="154" t="s">
        <v>515</v>
      </c>
      <c r="P25" s="154" t="s">
        <v>38</v>
      </c>
      <c r="Q25" s="154" t="s">
        <v>38</v>
      </c>
      <c r="R25" s="154" t="s">
        <v>118</v>
      </c>
      <c r="S25" s="154" t="s">
        <v>225</v>
      </c>
      <c r="T25" s="156" t="s">
        <v>38</v>
      </c>
      <c r="U25" s="156" t="s">
        <v>246</v>
      </c>
      <c r="V25" s="154"/>
      <c r="W25" s="201"/>
      <c r="X25" s="276">
        <v>45473</v>
      </c>
      <c r="Y25" s="218">
        <f t="shared" si="0"/>
        <v>12</v>
      </c>
      <c r="Z25" s="218" t="s">
        <v>518</v>
      </c>
      <c r="AA25" s="192">
        <f t="shared" si="1"/>
        <v>29896.105381385802</v>
      </c>
      <c r="AB25" s="192">
        <f t="shared" si="6"/>
        <v>8639.9744552204957</v>
      </c>
      <c r="AC25" s="192">
        <f>AA25+AB25</f>
        <v>38536.079836606295</v>
      </c>
      <c r="AD25" s="193"/>
      <c r="AE25" s="219" t="s">
        <v>529</v>
      </c>
      <c r="AF25" s="219" t="str">
        <f t="shared" si="3"/>
        <v>9950001330</v>
      </c>
      <c r="AG25" s="220" t="s">
        <v>530</v>
      </c>
      <c r="AH25" s="221">
        <v>3190662</v>
      </c>
      <c r="AI25" s="222" t="s">
        <v>531</v>
      </c>
    </row>
    <row r="26" spans="1:35" s="269" customFormat="1" ht="51.95">
      <c r="A26" s="255" t="s">
        <v>305</v>
      </c>
      <c r="B26" s="255" t="s">
        <v>557</v>
      </c>
      <c r="C26" s="255" t="s">
        <v>558</v>
      </c>
      <c r="D26" s="270">
        <v>1</v>
      </c>
      <c r="E26" s="256" t="s">
        <v>242</v>
      </c>
      <c r="F26" s="255" t="s">
        <v>559</v>
      </c>
      <c r="G26" s="271" t="s">
        <v>560</v>
      </c>
      <c r="H26" s="255" t="s">
        <v>561</v>
      </c>
      <c r="I26" s="255" t="s">
        <v>23</v>
      </c>
      <c r="J26" s="272">
        <v>195395</v>
      </c>
      <c r="K26" s="273">
        <v>59102</v>
      </c>
      <c r="L26" s="277">
        <v>0.75</v>
      </c>
      <c r="M26" s="274">
        <v>0.25</v>
      </c>
      <c r="N26" s="262" t="s">
        <v>23</v>
      </c>
      <c r="O26" s="263" t="s">
        <v>562</v>
      </c>
      <c r="P26" s="262">
        <v>20000</v>
      </c>
      <c r="Q26" s="262" t="s">
        <v>23</v>
      </c>
      <c r="R26" s="262" t="s">
        <v>23</v>
      </c>
      <c r="S26" s="262" t="s">
        <v>118</v>
      </c>
      <c r="T26" s="262" t="s">
        <v>21</v>
      </c>
      <c r="U26" s="265" t="s">
        <v>23</v>
      </c>
      <c r="V26" s="265">
        <v>48317.18</v>
      </c>
      <c r="W26" s="262"/>
      <c r="X26" s="262"/>
      <c r="Y26" s="262"/>
      <c r="Z26" s="262"/>
      <c r="AA26" s="266">
        <f t="shared" ref="AA26" si="12">MAX(((J26*L26)-K26)/2,0)</f>
        <v>43722.125</v>
      </c>
      <c r="AB26" s="266">
        <f t="shared" ref="AB26" si="13">AA26*$AB$1</f>
        <v>12635.694125</v>
      </c>
      <c r="AC26" s="266">
        <f>AA26+AB26</f>
        <v>56357.819125000002</v>
      </c>
      <c r="AD26" s="267"/>
      <c r="AE26" s="267"/>
      <c r="AF26" s="268" t="s">
        <v>544</v>
      </c>
      <c r="AG26" s="268" t="s">
        <v>530</v>
      </c>
      <c r="AH26" s="268">
        <v>3190951</v>
      </c>
      <c r="AI26" s="268" t="s">
        <v>531</v>
      </c>
    </row>
    <row r="27" spans="1:35">
      <c r="W27" s="182" t="s">
        <v>413</v>
      </c>
      <c r="X27" s="182"/>
      <c r="Y27" s="278"/>
      <c r="Z27" s="278"/>
      <c r="AA27" s="183">
        <f>SUM(AA4:AA26)</f>
        <v>563276.26503341785</v>
      </c>
      <c r="AB27" s="183">
        <f>SUM(AB4:AB26)</f>
        <v>162908.82698840776</v>
      </c>
      <c r="AC27" s="183">
        <f>SUM(AC4:AC26)</f>
        <v>726185.09202182572</v>
      </c>
    </row>
    <row r="28" spans="1:35">
      <c r="AA28" s="19"/>
      <c r="AB28" s="19"/>
      <c r="AC28" s="19"/>
    </row>
    <row r="29" spans="1:35">
      <c r="AA29" s="19"/>
      <c r="AB29" s="19"/>
      <c r="AC29" s="19"/>
    </row>
    <row r="30" spans="1:35">
      <c r="AA30" s="19"/>
      <c r="AB30" s="19"/>
      <c r="AC30" s="19"/>
    </row>
    <row r="31" spans="1:35">
      <c r="AA31" s="19"/>
      <c r="AB31" s="19"/>
      <c r="AC31" s="19"/>
    </row>
    <row r="32" spans="1:35" ht="72">
      <c r="A32" s="26" t="s">
        <v>136</v>
      </c>
      <c r="B32" s="26"/>
      <c r="C32" s="34"/>
      <c r="D32" s="34"/>
      <c r="E32" s="34"/>
      <c r="AA32" s="19"/>
      <c r="AB32" s="19"/>
      <c r="AC32" s="19"/>
    </row>
    <row r="33" spans="1:29" ht="18">
      <c r="A33" s="26"/>
      <c r="B33" s="26"/>
      <c r="C33" s="34"/>
      <c r="D33" s="34"/>
      <c r="E33" s="34"/>
      <c r="AA33" s="19"/>
      <c r="AB33" s="19"/>
      <c r="AC33" s="19"/>
    </row>
    <row r="34" spans="1:29" ht="27.95">
      <c r="A34" s="28" t="s">
        <v>137</v>
      </c>
      <c r="B34" s="28"/>
      <c r="C34" s="34"/>
      <c r="D34" s="34"/>
      <c r="E34" s="34"/>
      <c r="AA34" s="19"/>
      <c r="AB34" s="19"/>
      <c r="AC34" s="19"/>
    </row>
    <row r="35" spans="1:29" ht="27.95">
      <c r="A35" s="28" t="s">
        <v>138</v>
      </c>
      <c r="B35" s="28"/>
      <c r="C35" s="34"/>
      <c r="D35" s="34"/>
      <c r="E35" s="34"/>
      <c r="AA35" s="19"/>
      <c r="AB35" s="19"/>
      <c r="AC35" s="19"/>
    </row>
    <row r="36" spans="1:29" ht="42">
      <c r="A36" s="28" t="s">
        <v>139</v>
      </c>
      <c r="B36" s="28"/>
      <c r="C36" s="34"/>
      <c r="D36" s="34"/>
      <c r="E36" s="34"/>
      <c r="AA36" s="19"/>
      <c r="AB36" s="19"/>
      <c r="AC36" s="19"/>
    </row>
    <row r="37" spans="1:29" ht="56.1">
      <c r="A37" s="28" t="s">
        <v>140</v>
      </c>
      <c r="B37" s="28"/>
      <c r="C37" s="34"/>
      <c r="D37" s="34"/>
      <c r="E37" s="34"/>
      <c r="AA37" s="19"/>
      <c r="AB37" s="19"/>
      <c r="AC37" s="19"/>
    </row>
    <row r="38" spans="1:29" ht="42">
      <c r="A38" s="28" t="s">
        <v>141</v>
      </c>
      <c r="B38" s="28"/>
      <c r="C38" s="34"/>
      <c r="D38" s="34"/>
      <c r="E38" s="34"/>
      <c r="AA38" s="19"/>
      <c r="AB38" s="19"/>
      <c r="AC38" s="19"/>
    </row>
    <row r="39" spans="1:29" ht="69.95">
      <c r="A39" s="28" t="s">
        <v>516</v>
      </c>
      <c r="B39" s="28"/>
      <c r="C39" s="34"/>
      <c r="D39" s="34"/>
      <c r="E39" s="34"/>
      <c r="AA39" s="19"/>
      <c r="AB39" s="19"/>
      <c r="AC39" s="19"/>
    </row>
    <row r="40" spans="1:29" ht="42">
      <c r="A40" s="28" t="s">
        <v>517</v>
      </c>
      <c r="B40" s="28"/>
      <c r="C40" s="34"/>
      <c r="D40" s="34"/>
      <c r="E40" s="34"/>
      <c r="AA40" s="19"/>
      <c r="AB40" s="19"/>
      <c r="AC40" s="19"/>
    </row>
    <row r="41" spans="1:29" ht="84">
      <c r="A41" s="28" t="s">
        <v>144</v>
      </c>
      <c r="B41" s="28"/>
      <c r="C41" s="34"/>
      <c r="D41" s="34"/>
      <c r="E41" s="34"/>
      <c r="AA41" s="19"/>
      <c r="AB41" s="19"/>
      <c r="AC41" s="19"/>
    </row>
    <row r="42" spans="1:29" ht="98.1">
      <c r="A42" s="28" t="s">
        <v>145</v>
      </c>
      <c r="B42" s="28"/>
      <c r="C42" s="34"/>
      <c r="D42" s="34"/>
      <c r="E42" s="34"/>
      <c r="AA42" s="19"/>
      <c r="AB42" s="19"/>
      <c r="AC42" s="19"/>
    </row>
    <row r="43" spans="1:29" ht="56.1">
      <c r="A43" s="29" t="s">
        <v>146</v>
      </c>
      <c r="B43" s="29"/>
      <c r="C43" s="34"/>
      <c r="D43" s="34"/>
      <c r="E43" s="34"/>
      <c r="AA43" s="19"/>
      <c r="AB43" s="19"/>
      <c r="AC43" s="19"/>
    </row>
    <row r="44" spans="1:29">
      <c r="AA44" s="19"/>
      <c r="AB44" s="19"/>
      <c r="AC44" s="19"/>
    </row>
    <row r="45" spans="1:29">
      <c r="AA45" s="19"/>
      <c r="AB45" s="19"/>
      <c r="AC45" s="19"/>
    </row>
    <row r="46" spans="1:29">
      <c r="AA46" s="19"/>
      <c r="AB46" s="19"/>
      <c r="AC46" s="19"/>
    </row>
    <row r="47" spans="1:29">
      <c r="AA47" s="19"/>
      <c r="AB47" s="19"/>
      <c r="AC47" s="19"/>
    </row>
    <row r="48" spans="1:29">
      <c r="AA48" s="19"/>
      <c r="AB48" s="19"/>
      <c r="AC48" s="19"/>
    </row>
    <row r="49" spans="27:29">
      <c r="AA49" s="19"/>
      <c r="AB49" s="19"/>
      <c r="AC49" s="19"/>
    </row>
    <row r="50" spans="27:29">
      <c r="AA50" s="19"/>
      <c r="AB50" s="19"/>
      <c r="AC50" s="19"/>
    </row>
  </sheetData>
  <autoFilter ref="A3:AI25" xr:uid="{00000000-0009-0000-0000-000008000000}"/>
  <dataValidations count="1">
    <dataValidation type="list" allowBlank="1" showInputMessage="1" showErrorMessage="1" sqref="Z4:Z25" xr:uid="{00000000-0002-0000-0800-000000000000}">
      <formula1>$Z$1:$Z$2</formula1>
    </dataValidation>
  </dataValidations>
  <pageMargins left="0.7" right="0.7" top="0.75" bottom="0.75" header="0.3" footer="0.3"/>
  <pageSetup orientation="portrait" horizontalDpi="4294967293" verticalDpi="4294967293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46"/>
  <sheetViews>
    <sheetView zoomScale="85" zoomScaleNormal="85" workbookViewId="0">
      <pane xSplit="3" ySplit="2" topLeftCell="H11" activePane="bottomRight" state="frozen"/>
      <selection pane="bottomRight" activeCell="AE19" sqref="AE19"/>
      <selection pane="bottomLeft" activeCell="A3" sqref="A3"/>
      <selection pane="topRight" activeCell="D1" sqref="D1"/>
    </sheetView>
  </sheetViews>
  <sheetFormatPr defaultColWidth="8.875" defaultRowHeight="14.1"/>
  <cols>
    <col min="1" max="1" width="22.375" customWidth="1"/>
    <col min="2" max="2" width="21" bestFit="1" customWidth="1"/>
    <col min="3" max="3" width="16.625" bestFit="1" customWidth="1"/>
    <col min="4" max="4" width="8.375" bestFit="1" customWidth="1"/>
    <col min="5" max="5" width="25.375" bestFit="1" customWidth="1"/>
    <col min="6" max="6" width="28.875" bestFit="1" customWidth="1"/>
    <col min="7" max="7" width="14.875" bestFit="1" customWidth="1"/>
    <col min="8" max="8" width="19.125" customWidth="1"/>
    <col min="9" max="9" width="23.125" bestFit="1" customWidth="1"/>
    <col min="10" max="10" width="16.625" style="138" customWidth="1"/>
    <col min="11" max="11" width="13.875" style="184" customWidth="1"/>
    <col min="12" max="12" width="13.875" style="138" customWidth="1"/>
    <col min="13" max="13" width="9.5" style="139" bestFit="1" customWidth="1"/>
    <col min="14" max="14" width="17.5" customWidth="1"/>
    <col min="15" max="15" width="25.125" customWidth="1"/>
    <col min="16" max="16" width="26.125" customWidth="1"/>
    <col min="17" max="17" width="16.5" style="17" customWidth="1"/>
    <col min="18" max="18" width="17.5" customWidth="1"/>
    <col min="19" max="19" width="10.375" customWidth="1"/>
    <col min="20" max="20" width="18" customWidth="1"/>
    <col min="21" max="21" width="15.625" customWidth="1"/>
    <col min="22" max="22" width="14.625" customWidth="1"/>
    <col min="23" max="23" width="14" bestFit="1" customWidth="1"/>
    <col min="24" max="24" width="22.125" bestFit="1" customWidth="1"/>
    <col min="25" max="25" width="13.5" bestFit="1" customWidth="1"/>
    <col min="26" max="26" width="17.5" bestFit="1" customWidth="1"/>
    <col min="27" max="27" width="23.875" hidden="1" customWidth="1"/>
    <col min="28" max="28" width="15.875" customWidth="1"/>
    <col min="29" max="29" width="24.25" customWidth="1"/>
  </cols>
  <sheetData>
    <row r="1" spans="1:29">
      <c r="Y1" s="279">
        <v>0.312</v>
      </c>
    </row>
    <row r="2" spans="1:29" s="9" customFormat="1" ht="66.75" customHeight="1">
      <c r="A2" s="141" t="s">
        <v>0</v>
      </c>
      <c r="B2" s="141" t="s">
        <v>347</v>
      </c>
      <c r="C2" s="141" t="s">
        <v>1</v>
      </c>
      <c r="D2" s="142" t="s">
        <v>83</v>
      </c>
      <c r="E2" s="143" t="s">
        <v>84</v>
      </c>
      <c r="F2" s="143" t="s">
        <v>85</v>
      </c>
      <c r="G2" s="143" t="s">
        <v>86</v>
      </c>
      <c r="H2" s="143" t="s">
        <v>2</v>
      </c>
      <c r="I2" s="143" t="s">
        <v>87</v>
      </c>
      <c r="J2" s="145" t="s">
        <v>563</v>
      </c>
      <c r="K2" s="144" t="s">
        <v>4</v>
      </c>
      <c r="L2" s="145" t="s">
        <v>417</v>
      </c>
      <c r="M2" s="146" t="s">
        <v>349</v>
      </c>
      <c r="N2" s="143" t="s">
        <v>8</v>
      </c>
      <c r="O2" s="143" t="s">
        <v>89</v>
      </c>
      <c r="P2" s="143" t="s">
        <v>90</v>
      </c>
      <c r="Q2" s="143" t="s">
        <v>238</v>
      </c>
      <c r="R2" s="143" t="s">
        <v>12</v>
      </c>
      <c r="S2" s="143" t="s">
        <v>91</v>
      </c>
      <c r="T2" s="143" t="s">
        <v>239</v>
      </c>
      <c r="U2" s="143" t="s">
        <v>93</v>
      </c>
      <c r="V2" s="143" t="s">
        <v>14</v>
      </c>
      <c r="W2" s="143" t="s">
        <v>94</v>
      </c>
      <c r="X2" s="147" t="s">
        <v>5</v>
      </c>
      <c r="Y2" s="147" t="s">
        <v>350</v>
      </c>
      <c r="Z2" s="147" t="s">
        <v>351</v>
      </c>
      <c r="AA2" s="147" t="s">
        <v>418</v>
      </c>
      <c r="AB2" s="147" t="s">
        <v>564</v>
      </c>
      <c r="AC2" s="147" t="s">
        <v>565</v>
      </c>
    </row>
    <row r="3" spans="1:29" ht="78">
      <c r="A3" s="148" t="s">
        <v>322</v>
      </c>
      <c r="B3" s="159" t="s">
        <v>512</v>
      </c>
      <c r="C3" s="159" t="s">
        <v>323</v>
      </c>
      <c r="D3" s="197">
        <v>1</v>
      </c>
      <c r="E3" s="160"/>
      <c r="F3" s="159" t="s">
        <v>566</v>
      </c>
      <c r="G3" s="161" t="s">
        <v>567</v>
      </c>
      <c r="H3" s="159" t="s">
        <v>568</v>
      </c>
      <c r="I3" s="159" t="s">
        <v>23</v>
      </c>
      <c r="J3" s="194">
        <v>219453.86</v>
      </c>
      <c r="K3" s="188">
        <v>100000</v>
      </c>
      <c r="L3" s="280">
        <v>0.75</v>
      </c>
      <c r="M3" s="198">
        <v>0.25</v>
      </c>
      <c r="N3" s="154" t="s">
        <v>23</v>
      </c>
      <c r="O3" s="155" t="s">
        <v>569</v>
      </c>
      <c r="P3" s="156" t="s">
        <v>570</v>
      </c>
      <c r="Q3" s="156" t="s">
        <v>23</v>
      </c>
      <c r="R3" s="156" t="s">
        <v>23</v>
      </c>
      <c r="S3" s="154" t="s">
        <v>118</v>
      </c>
      <c r="T3" s="156" t="s">
        <v>23</v>
      </c>
      <c r="U3" s="156">
        <v>38536.080000000002</v>
      </c>
      <c r="V3" s="156" t="s">
        <v>21</v>
      </c>
      <c r="W3" s="156"/>
      <c r="X3" s="192">
        <f>MAX(((J3*L3)-K3)/2,0)</f>
        <v>32295.197499999995</v>
      </c>
      <c r="Y3" s="192">
        <f>X3*$Y$1</f>
        <v>10076.101619999998</v>
      </c>
      <c r="Z3" s="192">
        <f>X3+Y3</f>
        <v>42371.299119999996</v>
      </c>
      <c r="AA3" s="193"/>
      <c r="AB3" s="281" t="s">
        <v>23</v>
      </c>
      <c r="AC3" s="221"/>
    </row>
    <row r="4" spans="1:29" ht="90.95">
      <c r="A4" s="148" t="s">
        <v>571</v>
      </c>
      <c r="B4" s="159" t="s">
        <v>419</v>
      </c>
      <c r="C4" s="159" t="s">
        <v>427</v>
      </c>
      <c r="D4" s="197">
        <v>1</v>
      </c>
      <c r="E4" s="160" t="s">
        <v>421</v>
      </c>
      <c r="F4" s="159" t="s">
        <v>428</v>
      </c>
      <c r="G4" s="161" t="s">
        <v>429</v>
      </c>
      <c r="H4" s="159" t="s">
        <v>572</v>
      </c>
      <c r="I4" s="159" t="s">
        <v>23</v>
      </c>
      <c r="J4" s="194">
        <v>205101.52000000002</v>
      </c>
      <c r="K4" s="188">
        <v>100000</v>
      </c>
      <c r="L4" s="280">
        <v>0.75</v>
      </c>
      <c r="M4" s="198">
        <v>0.25</v>
      </c>
      <c r="N4" s="154" t="s">
        <v>23</v>
      </c>
      <c r="O4" s="155" t="s">
        <v>573</v>
      </c>
      <c r="P4" s="156" t="s">
        <v>574</v>
      </c>
      <c r="Q4" s="156" t="s">
        <v>23</v>
      </c>
      <c r="R4" s="156" t="s">
        <v>23</v>
      </c>
      <c r="S4" s="154" t="s">
        <v>118</v>
      </c>
      <c r="T4" s="156" t="s">
        <v>23</v>
      </c>
      <c r="U4" s="156">
        <v>28304.68</v>
      </c>
      <c r="V4" s="156" t="s">
        <v>20</v>
      </c>
      <c r="W4" s="156" t="s">
        <v>20</v>
      </c>
      <c r="X4" s="192">
        <f>MAX(((J4*L4)-K4)/2,0)</f>
        <v>26913.070000000007</v>
      </c>
      <c r="Y4" s="192">
        <f>X4*$Y$1</f>
        <v>8396.8778400000028</v>
      </c>
      <c r="Z4" s="192">
        <f>X4+Y4</f>
        <v>35309.947840000008</v>
      </c>
      <c r="AA4" s="193"/>
      <c r="AB4" s="281" t="s">
        <v>23</v>
      </c>
      <c r="AC4" s="221"/>
    </row>
    <row r="5" spans="1:29" ht="51.95">
      <c r="A5" s="148" t="s">
        <v>575</v>
      </c>
      <c r="B5" s="159" t="s">
        <v>363</v>
      </c>
      <c r="C5" s="159" t="s">
        <v>432</v>
      </c>
      <c r="D5" s="197">
        <v>1</v>
      </c>
      <c r="E5" s="160" t="s">
        <v>576</v>
      </c>
      <c r="F5" s="159" t="s">
        <v>577</v>
      </c>
      <c r="G5" s="161" t="s">
        <v>302</v>
      </c>
      <c r="H5" s="159" t="s">
        <v>434</v>
      </c>
      <c r="I5" s="159" t="s">
        <v>23</v>
      </c>
      <c r="J5" s="194">
        <v>211953</v>
      </c>
      <c r="K5" s="195">
        <v>37047</v>
      </c>
      <c r="L5" s="280">
        <v>0.75</v>
      </c>
      <c r="M5" s="198">
        <v>0.25</v>
      </c>
      <c r="N5" s="154" t="s">
        <v>23</v>
      </c>
      <c r="O5" s="155" t="s">
        <v>510</v>
      </c>
      <c r="P5" s="156">
        <f>62650-30910</f>
        <v>31740</v>
      </c>
      <c r="Q5" s="156" t="s">
        <v>23</v>
      </c>
      <c r="R5" s="156" t="s">
        <v>38</v>
      </c>
      <c r="S5" s="156" t="s">
        <v>118</v>
      </c>
      <c r="T5" s="156" t="s">
        <v>164</v>
      </c>
      <c r="U5" s="156">
        <f>80755/1.289</f>
        <v>62649.340574088441</v>
      </c>
      <c r="V5" s="156" t="s">
        <v>246</v>
      </c>
      <c r="W5" s="191" t="s">
        <v>578</v>
      </c>
      <c r="X5" s="192">
        <f t="shared" ref="X5:X18" si="0">MAX(((J5*L5)-K5)/2,0)</f>
        <v>60958.875</v>
      </c>
      <c r="Y5" s="192">
        <f t="shared" ref="Y5:Y21" si="1">X5*$Y$1</f>
        <v>19019.169000000002</v>
      </c>
      <c r="Z5" s="192">
        <f>X5+Y5</f>
        <v>79978.043999999994</v>
      </c>
      <c r="AA5" s="193"/>
      <c r="AB5" s="281" t="s">
        <v>579</v>
      </c>
      <c r="AC5" s="282" t="s">
        <v>580</v>
      </c>
    </row>
    <row r="6" spans="1:29" ht="78">
      <c r="A6" s="148" t="s">
        <v>62</v>
      </c>
      <c r="B6" s="159" t="s">
        <v>581</v>
      </c>
      <c r="C6" s="159" t="s">
        <v>582</v>
      </c>
      <c r="D6" s="197">
        <v>1</v>
      </c>
      <c r="E6" s="160" t="s">
        <v>62</v>
      </c>
      <c r="F6" s="159" t="s">
        <v>583</v>
      </c>
      <c r="G6" s="161" t="s">
        <v>503</v>
      </c>
      <c r="H6" s="159" t="s">
        <v>504</v>
      </c>
      <c r="I6" s="159" t="s">
        <v>23</v>
      </c>
      <c r="J6" s="194">
        <f>190435*1.03</f>
        <v>196148.05000000002</v>
      </c>
      <c r="K6" s="195">
        <v>90000</v>
      </c>
      <c r="L6" s="280">
        <v>0.75</v>
      </c>
      <c r="M6" s="198">
        <v>0.06</v>
      </c>
      <c r="N6" s="154" t="s">
        <v>23</v>
      </c>
      <c r="O6" s="155" t="s">
        <v>569</v>
      </c>
      <c r="P6" s="191" t="s">
        <v>584</v>
      </c>
      <c r="Q6" s="156" t="s">
        <v>23</v>
      </c>
      <c r="R6" s="156" t="s">
        <v>23</v>
      </c>
      <c r="S6" s="156" t="s">
        <v>118</v>
      </c>
      <c r="T6" s="156" t="s">
        <v>164</v>
      </c>
      <c r="U6" s="156">
        <v>34046.53</v>
      </c>
      <c r="V6" s="156" t="s">
        <v>164</v>
      </c>
      <c r="W6" s="156"/>
      <c r="X6" s="192">
        <f t="shared" si="0"/>
        <v>28555.518750000003</v>
      </c>
      <c r="Y6" s="192">
        <f t="shared" si="1"/>
        <v>8909.3218500000003</v>
      </c>
      <c r="Z6" s="192">
        <f t="shared" ref="Z6:Z20" si="2">X6+Y6</f>
        <v>37464.840600000003</v>
      </c>
      <c r="AA6" s="193"/>
      <c r="AB6" s="281" t="s">
        <v>21</v>
      </c>
      <c r="AC6" s="283" t="s">
        <v>585</v>
      </c>
    </row>
    <row r="7" spans="1:29" ht="90.95">
      <c r="A7" s="148" t="s">
        <v>62</v>
      </c>
      <c r="B7" s="148" t="s">
        <v>581</v>
      </c>
      <c r="C7" s="148" t="s">
        <v>374</v>
      </c>
      <c r="D7" s="185">
        <v>1</v>
      </c>
      <c r="E7" s="160" t="s">
        <v>62</v>
      </c>
      <c r="F7" s="148" t="s">
        <v>586</v>
      </c>
      <c r="G7" s="150" t="s">
        <v>587</v>
      </c>
      <c r="H7" s="148" t="s">
        <v>494</v>
      </c>
      <c r="I7" s="148" t="s">
        <v>23</v>
      </c>
      <c r="J7" s="187">
        <f>190435*1.03</f>
        <v>196148.05000000002</v>
      </c>
      <c r="K7" s="188">
        <v>100000</v>
      </c>
      <c r="L7" s="280">
        <v>0.75</v>
      </c>
      <c r="M7" s="153">
        <v>0.23</v>
      </c>
      <c r="N7" s="154" t="s">
        <v>23</v>
      </c>
      <c r="O7" s="155" t="s">
        <v>588</v>
      </c>
      <c r="P7" s="155" t="s">
        <v>589</v>
      </c>
      <c r="Q7" s="154" t="s">
        <v>23</v>
      </c>
      <c r="R7" s="154" t="s">
        <v>23</v>
      </c>
      <c r="S7" s="154" t="s">
        <v>118</v>
      </c>
      <c r="T7" s="154" t="s">
        <v>164</v>
      </c>
      <c r="U7" s="156">
        <v>27601.53</v>
      </c>
      <c r="V7" s="156" t="s">
        <v>164</v>
      </c>
      <c r="W7" s="154"/>
      <c r="X7" s="192">
        <f t="shared" si="0"/>
        <v>23555.518750000003</v>
      </c>
      <c r="Y7" s="192">
        <f t="shared" si="1"/>
        <v>7349.3218500000012</v>
      </c>
      <c r="Z7" s="192">
        <f t="shared" si="2"/>
        <v>30904.840600000003</v>
      </c>
      <c r="AA7" s="193"/>
      <c r="AB7" s="281" t="s">
        <v>23</v>
      </c>
      <c r="AC7" s="221"/>
    </row>
    <row r="8" spans="1:29" ht="104.1">
      <c r="A8" s="148" t="s">
        <v>62</v>
      </c>
      <c r="B8" s="148" t="s">
        <v>581</v>
      </c>
      <c r="C8" s="148" t="s">
        <v>590</v>
      </c>
      <c r="D8" s="185">
        <v>1</v>
      </c>
      <c r="E8" s="160" t="s">
        <v>62</v>
      </c>
      <c r="F8" s="148" t="s">
        <v>591</v>
      </c>
      <c r="G8" s="150" t="s">
        <v>548</v>
      </c>
      <c r="H8" s="148" t="s">
        <v>592</v>
      </c>
      <c r="I8" s="148" t="s">
        <v>23</v>
      </c>
      <c r="J8" s="187">
        <f>175782*1.03</f>
        <v>181055.46</v>
      </c>
      <c r="K8" s="188">
        <v>100000</v>
      </c>
      <c r="L8" s="280">
        <v>0.75</v>
      </c>
      <c r="M8" s="153">
        <v>0.2</v>
      </c>
      <c r="N8" s="154" t="s">
        <v>23</v>
      </c>
      <c r="O8" s="155" t="s">
        <v>336</v>
      </c>
      <c r="P8" s="191" t="s">
        <v>584</v>
      </c>
      <c r="Q8" s="154" t="s">
        <v>23</v>
      </c>
      <c r="R8" s="154" t="s">
        <v>23</v>
      </c>
      <c r="S8" s="154" t="s">
        <v>102</v>
      </c>
      <c r="T8" s="154" t="s">
        <v>164</v>
      </c>
      <c r="U8" s="156">
        <v>20518.62</v>
      </c>
      <c r="V8" s="156" t="s">
        <v>164</v>
      </c>
      <c r="W8" s="154"/>
      <c r="X8" s="192">
        <f t="shared" si="0"/>
        <v>17895.797500000001</v>
      </c>
      <c r="Y8" s="192">
        <f t="shared" si="1"/>
        <v>5583.4888200000005</v>
      </c>
      <c r="Z8" s="192">
        <f t="shared" si="2"/>
        <v>23479.286319999999</v>
      </c>
      <c r="AA8" s="193"/>
      <c r="AB8" s="281" t="s">
        <v>23</v>
      </c>
      <c r="AC8" s="221"/>
    </row>
    <row r="9" spans="1:29" ht="78">
      <c r="A9" s="148" t="s">
        <v>62</v>
      </c>
      <c r="B9" s="148" t="s">
        <v>581</v>
      </c>
      <c r="C9" s="148" t="s">
        <v>593</v>
      </c>
      <c r="D9" s="185">
        <v>1</v>
      </c>
      <c r="E9" s="160" t="s">
        <v>62</v>
      </c>
      <c r="F9" s="148" t="s">
        <v>594</v>
      </c>
      <c r="G9" s="150" t="s">
        <v>554</v>
      </c>
      <c r="H9" s="148" t="s">
        <v>555</v>
      </c>
      <c r="I9" s="148" t="s">
        <v>23</v>
      </c>
      <c r="J9" s="187">
        <f>177417*1.03</f>
        <v>182739.51</v>
      </c>
      <c r="K9" s="188">
        <v>75000</v>
      </c>
      <c r="L9" s="280">
        <v>0.75</v>
      </c>
      <c r="M9" s="153">
        <v>0.25</v>
      </c>
      <c r="N9" s="154" t="s">
        <v>23</v>
      </c>
      <c r="O9" s="155" t="s">
        <v>336</v>
      </c>
      <c r="P9" s="191" t="s">
        <v>584</v>
      </c>
      <c r="Q9" s="154" t="s">
        <v>23</v>
      </c>
      <c r="R9" s="154" t="s">
        <v>23</v>
      </c>
      <c r="S9" s="154" t="s">
        <v>102</v>
      </c>
      <c r="T9" s="154" t="s">
        <v>164</v>
      </c>
      <c r="U9" s="191">
        <v>37421.410000000003</v>
      </c>
      <c r="V9" s="156" t="s">
        <v>164</v>
      </c>
      <c r="W9" s="154"/>
      <c r="X9" s="192">
        <f t="shared" si="0"/>
        <v>31027.316250000003</v>
      </c>
      <c r="Y9" s="192">
        <f t="shared" si="1"/>
        <v>9680.5226700000003</v>
      </c>
      <c r="Z9" s="192">
        <f t="shared" si="2"/>
        <v>40707.838920000002</v>
      </c>
      <c r="AA9" s="193"/>
      <c r="AB9" s="281" t="s">
        <v>23</v>
      </c>
      <c r="AC9" s="221"/>
    </row>
    <row r="10" spans="1:29" ht="51.95">
      <c r="A10" s="148" t="s">
        <v>305</v>
      </c>
      <c r="B10" s="159" t="s">
        <v>557</v>
      </c>
      <c r="C10" s="159" t="s">
        <v>558</v>
      </c>
      <c r="D10" s="197">
        <v>1</v>
      </c>
      <c r="E10" s="160" t="s">
        <v>242</v>
      </c>
      <c r="F10" s="159" t="s">
        <v>559</v>
      </c>
      <c r="G10" s="161" t="s">
        <v>560</v>
      </c>
      <c r="H10" s="159" t="s">
        <v>561</v>
      </c>
      <c r="I10" s="159" t="s">
        <v>23</v>
      </c>
      <c r="J10" s="194">
        <f>195395*1.03</f>
        <v>201256.85</v>
      </c>
      <c r="K10" s="195">
        <v>57164</v>
      </c>
      <c r="L10" s="280">
        <v>0.75</v>
      </c>
      <c r="M10" s="198">
        <v>0.25</v>
      </c>
      <c r="N10" s="154" t="s">
        <v>23</v>
      </c>
      <c r="O10" s="155" t="s">
        <v>562</v>
      </c>
      <c r="P10" s="156">
        <v>20000</v>
      </c>
      <c r="Q10" s="156" t="s">
        <v>23</v>
      </c>
      <c r="R10" s="156" t="s">
        <v>23</v>
      </c>
      <c r="S10" s="156" t="s">
        <v>118</v>
      </c>
      <c r="T10" s="156" t="s">
        <v>21</v>
      </c>
      <c r="U10" s="156">
        <v>56357.82</v>
      </c>
      <c r="V10" s="156" t="s">
        <v>21</v>
      </c>
      <c r="W10" s="156" t="s">
        <v>20</v>
      </c>
      <c r="X10" s="192">
        <f t="shared" si="0"/>
        <v>46889.318750000006</v>
      </c>
      <c r="Y10" s="192">
        <f t="shared" si="1"/>
        <v>14629.467450000002</v>
      </c>
      <c r="Z10" s="192">
        <f t="shared" si="2"/>
        <v>61518.78620000001</v>
      </c>
      <c r="AA10" s="193"/>
      <c r="AB10" s="281" t="s">
        <v>23</v>
      </c>
      <c r="AC10" s="221"/>
    </row>
    <row r="11" spans="1:29" ht="78">
      <c r="A11" s="148" t="s">
        <v>40</v>
      </c>
      <c r="B11" s="148" t="s">
        <v>595</v>
      </c>
      <c r="C11" s="161" t="s">
        <v>393</v>
      </c>
      <c r="D11" s="160">
        <v>1</v>
      </c>
      <c r="E11" s="160" t="s">
        <v>38</v>
      </c>
      <c r="F11" s="161" t="s">
        <v>394</v>
      </c>
      <c r="G11" s="161" t="s">
        <v>395</v>
      </c>
      <c r="H11" s="159" t="s">
        <v>396</v>
      </c>
      <c r="I11" s="159" t="s">
        <v>38</v>
      </c>
      <c r="J11" s="194">
        <v>225081</v>
      </c>
      <c r="K11" s="205">
        <v>100000</v>
      </c>
      <c r="L11" s="280">
        <v>0.75</v>
      </c>
      <c r="M11" s="164">
        <v>0.25</v>
      </c>
      <c r="N11" s="154" t="s">
        <v>38</v>
      </c>
      <c r="O11" s="156" t="s">
        <v>470</v>
      </c>
      <c r="P11" s="156"/>
      <c r="Q11" s="156" t="s">
        <v>38</v>
      </c>
      <c r="R11" s="156" t="s">
        <v>38</v>
      </c>
      <c r="S11" s="156" t="s">
        <v>118</v>
      </c>
      <c r="T11" s="156" t="s">
        <v>246</v>
      </c>
      <c r="U11" s="156" t="s">
        <v>38</v>
      </c>
      <c r="V11" s="156" t="s">
        <v>246</v>
      </c>
      <c r="W11" s="156"/>
      <c r="X11" s="192">
        <f t="shared" si="0"/>
        <v>34405.375</v>
      </c>
      <c r="Y11" s="192">
        <f t="shared" si="1"/>
        <v>10734.477000000001</v>
      </c>
      <c r="Z11" s="192">
        <f t="shared" si="2"/>
        <v>45139.851999999999</v>
      </c>
      <c r="AA11" s="224" t="s">
        <v>596</v>
      </c>
      <c r="AB11" s="281" t="s">
        <v>23</v>
      </c>
      <c r="AC11" s="221"/>
    </row>
    <row r="12" spans="1:29" ht="78">
      <c r="A12" s="148" t="s">
        <v>40</v>
      </c>
      <c r="B12" s="148" t="s">
        <v>595</v>
      </c>
      <c r="C12" s="159" t="s">
        <v>597</v>
      </c>
      <c r="D12" s="160">
        <v>1</v>
      </c>
      <c r="E12" s="160" t="s">
        <v>38</v>
      </c>
      <c r="F12" s="159" t="s">
        <v>540</v>
      </c>
      <c r="G12" s="161" t="s">
        <v>541</v>
      </c>
      <c r="H12" s="159" t="s">
        <v>542</v>
      </c>
      <c r="I12" s="159" t="s">
        <v>38</v>
      </c>
      <c r="J12" s="194">
        <v>225081</v>
      </c>
      <c r="K12" s="205">
        <v>51133</v>
      </c>
      <c r="L12" s="280">
        <v>0.75</v>
      </c>
      <c r="M12" s="164">
        <v>0.25</v>
      </c>
      <c r="N12" s="156" t="s">
        <v>246</v>
      </c>
      <c r="O12" s="156"/>
      <c r="P12" s="156"/>
      <c r="Q12" s="156" t="s">
        <v>38</v>
      </c>
      <c r="R12" s="156" t="s">
        <v>38</v>
      </c>
      <c r="S12" s="156" t="s">
        <v>102</v>
      </c>
      <c r="T12" s="156" t="s">
        <v>246</v>
      </c>
      <c r="U12" s="156" t="s">
        <v>246</v>
      </c>
      <c r="V12" s="156" t="s">
        <v>23</v>
      </c>
      <c r="W12" s="156" t="s">
        <v>543</v>
      </c>
      <c r="X12" s="192">
        <f t="shared" si="0"/>
        <v>58838.875</v>
      </c>
      <c r="Y12" s="192">
        <f t="shared" si="1"/>
        <v>18357.728999999999</v>
      </c>
      <c r="Z12" s="192">
        <f t="shared" si="2"/>
        <v>77196.603999999992</v>
      </c>
      <c r="AA12" s="224" t="s">
        <v>596</v>
      </c>
      <c r="AB12" s="281" t="s">
        <v>23</v>
      </c>
      <c r="AC12" s="221"/>
    </row>
    <row r="13" spans="1:29" ht="78">
      <c r="A13" s="148" t="s">
        <v>156</v>
      </c>
      <c r="B13" s="159" t="s">
        <v>598</v>
      </c>
      <c r="C13" s="159" t="s">
        <v>599</v>
      </c>
      <c r="D13" s="197"/>
      <c r="E13" s="160" t="s">
        <v>600</v>
      </c>
      <c r="F13" s="159" t="s">
        <v>601</v>
      </c>
      <c r="G13" s="161" t="s">
        <v>602</v>
      </c>
      <c r="H13" s="159" t="s">
        <v>603</v>
      </c>
      <c r="I13" s="159"/>
      <c r="J13" s="194">
        <v>231341</v>
      </c>
      <c r="K13" s="195">
        <v>100000</v>
      </c>
      <c r="L13" s="280">
        <v>0.75</v>
      </c>
      <c r="M13" s="198">
        <v>0.50180000000000002</v>
      </c>
      <c r="N13" s="154" t="s">
        <v>23</v>
      </c>
      <c r="O13" s="155" t="s">
        <v>604</v>
      </c>
      <c r="P13" s="156">
        <v>33838.67</v>
      </c>
      <c r="Q13" s="156" t="s">
        <v>23</v>
      </c>
      <c r="R13" s="156" t="s">
        <v>23</v>
      </c>
      <c r="S13" s="156" t="s">
        <v>102</v>
      </c>
      <c r="T13" s="156"/>
      <c r="U13" s="156">
        <v>44713.72</v>
      </c>
      <c r="V13" s="156" t="s">
        <v>21</v>
      </c>
      <c r="W13" s="156"/>
      <c r="X13" s="192">
        <f t="shared" si="0"/>
        <v>36752.875</v>
      </c>
      <c r="Y13" s="192">
        <f t="shared" si="1"/>
        <v>11466.897000000001</v>
      </c>
      <c r="Z13" s="192">
        <f t="shared" si="2"/>
        <v>48219.771999999997</v>
      </c>
      <c r="AA13" s="193"/>
      <c r="AB13" s="281" t="s">
        <v>23</v>
      </c>
      <c r="AC13" s="221"/>
    </row>
    <row r="14" spans="1:29" ht="143.1">
      <c r="A14" s="148" t="s">
        <v>156</v>
      </c>
      <c r="B14" s="148" t="s">
        <v>598</v>
      </c>
      <c r="C14" s="148" t="s">
        <v>605</v>
      </c>
      <c r="D14" s="149">
        <v>1</v>
      </c>
      <c r="E14" s="149" t="s">
        <v>600</v>
      </c>
      <c r="F14" s="148" t="s">
        <v>606</v>
      </c>
      <c r="G14" s="150" t="s">
        <v>607</v>
      </c>
      <c r="H14" s="148" t="s">
        <v>608</v>
      </c>
      <c r="I14" s="148" t="s">
        <v>21</v>
      </c>
      <c r="J14" s="187">
        <v>164800</v>
      </c>
      <c r="K14" s="188">
        <v>100000</v>
      </c>
      <c r="L14" s="280">
        <v>0.75</v>
      </c>
      <c r="M14" s="190">
        <v>0.4</v>
      </c>
      <c r="N14" s="154" t="s">
        <v>21</v>
      </c>
      <c r="O14" s="155"/>
      <c r="P14" s="154"/>
      <c r="Q14" s="154" t="s">
        <v>23</v>
      </c>
      <c r="R14" s="154" t="s">
        <v>23</v>
      </c>
      <c r="S14" s="154" t="s">
        <v>102</v>
      </c>
      <c r="T14" s="154"/>
      <c r="U14" s="156" t="s">
        <v>21</v>
      </c>
      <c r="V14" s="156" t="s">
        <v>23</v>
      </c>
      <c r="W14" s="154"/>
      <c r="X14" s="192">
        <f t="shared" si="0"/>
        <v>11800</v>
      </c>
      <c r="Y14" s="192">
        <f t="shared" si="1"/>
        <v>3681.6</v>
      </c>
      <c r="Z14" s="192">
        <f t="shared" si="2"/>
        <v>15481.6</v>
      </c>
      <c r="AA14" s="193"/>
      <c r="AB14" s="281" t="s">
        <v>579</v>
      </c>
      <c r="AC14" s="283" t="s">
        <v>609</v>
      </c>
    </row>
    <row r="15" spans="1:29" ht="143.1">
      <c r="A15" s="148" t="s">
        <v>156</v>
      </c>
      <c r="B15" s="148" t="s">
        <v>598</v>
      </c>
      <c r="C15" s="148" t="s">
        <v>610</v>
      </c>
      <c r="D15" s="149">
        <v>1</v>
      </c>
      <c r="E15" s="149" t="s">
        <v>600</v>
      </c>
      <c r="F15" s="148" t="s">
        <v>611</v>
      </c>
      <c r="G15" s="150" t="s">
        <v>612</v>
      </c>
      <c r="H15" s="148" t="s">
        <v>613</v>
      </c>
      <c r="I15" s="148" t="s">
        <v>23</v>
      </c>
      <c r="J15" s="187">
        <v>218420</v>
      </c>
      <c r="K15" s="188">
        <v>100000</v>
      </c>
      <c r="L15" s="280">
        <v>0.75</v>
      </c>
      <c r="M15" s="190">
        <v>0.45779999999999998</v>
      </c>
      <c r="N15" s="154" t="s">
        <v>21</v>
      </c>
      <c r="O15" s="155"/>
      <c r="P15" s="154"/>
      <c r="Q15" s="154" t="s">
        <v>23</v>
      </c>
      <c r="R15" s="154" t="s">
        <v>23</v>
      </c>
      <c r="S15" s="154" t="s">
        <v>118</v>
      </c>
      <c r="T15" s="154"/>
      <c r="U15" s="156" t="s">
        <v>21</v>
      </c>
      <c r="V15" s="156" t="s">
        <v>21</v>
      </c>
      <c r="W15" s="154"/>
      <c r="X15" s="192">
        <f t="shared" si="0"/>
        <v>31907.5</v>
      </c>
      <c r="Y15" s="192">
        <f t="shared" si="1"/>
        <v>9955.14</v>
      </c>
      <c r="Z15" s="192">
        <f t="shared" si="2"/>
        <v>41862.639999999999</v>
      </c>
      <c r="AA15" s="193"/>
      <c r="AB15" s="281" t="s">
        <v>23</v>
      </c>
      <c r="AC15" s="221"/>
    </row>
    <row r="16" spans="1:29" ht="90.95">
      <c r="A16" s="148" t="s">
        <v>156</v>
      </c>
      <c r="B16" s="148" t="s">
        <v>598</v>
      </c>
      <c r="C16" s="148" t="s">
        <v>614</v>
      </c>
      <c r="D16" s="149">
        <v>1</v>
      </c>
      <c r="E16" s="149" t="s">
        <v>600</v>
      </c>
      <c r="F16" s="148" t="s">
        <v>615</v>
      </c>
      <c r="G16" s="150" t="s">
        <v>440</v>
      </c>
      <c r="H16" s="148" t="s">
        <v>616</v>
      </c>
      <c r="I16" s="148" t="s">
        <v>23</v>
      </c>
      <c r="J16" s="187">
        <v>218420</v>
      </c>
      <c r="K16" s="188">
        <v>100000</v>
      </c>
      <c r="L16" s="280">
        <v>0.75</v>
      </c>
      <c r="M16" s="190">
        <v>0.4597</v>
      </c>
      <c r="N16" s="154" t="s">
        <v>23</v>
      </c>
      <c r="O16" s="155" t="s">
        <v>604</v>
      </c>
      <c r="P16" s="154">
        <v>27368.229999999996</v>
      </c>
      <c r="Q16" s="154" t="s">
        <v>23</v>
      </c>
      <c r="R16" s="154" t="s">
        <v>23</v>
      </c>
      <c r="S16" s="154" t="s">
        <v>102</v>
      </c>
      <c r="T16" s="154"/>
      <c r="U16" s="191" t="s">
        <v>21</v>
      </c>
      <c r="V16" s="156" t="s">
        <v>23</v>
      </c>
      <c r="W16" s="154"/>
      <c r="X16" s="192">
        <f t="shared" si="0"/>
        <v>31907.5</v>
      </c>
      <c r="Y16" s="192">
        <f t="shared" si="1"/>
        <v>9955.14</v>
      </c>
      <c r="Z16" s="192">
        <f t="shared" si="2"/>
        <v>41862.639999999999</v>
      </c>
      <c r="AA16" s="193"/>
      <c r="AB16" s="281" t="s">
        <v>23</v>
      </c>
      <c r="AC16" s="221"/>
    </row>
    <row r="17" spans="1:29" ht="90.95">
      <c r="A17" s="148" t="s">
        <v>156</v>
      </c>
      <c r="B17" s="148" t="s">
        <v>352</v>
      </c>
      <c r="C17" s="148" t="s">
        <v>442</v>
      </c>
      <c r="D17" s="149">
        <v>0.91090000000000004</v>
      </c>
      <c r="E17" s="149" t="s">
        <v>158</v>
      </c>
      <c r="F17" s="148" t="s">
        <v>617</v>
      </c>
      <c r="G17" s="150" t="s">
        <v>444</v>
      </c>
      <c r="H17" s="148" t="s">
        <v>445</v>
      </c>
      <c r="I17" s="148" t="s">
        <v>23</v>
      </c>
      <c r="J17" s="187">
        <v>224973</v>
      </c>
      <c r="K17" s="188">
        <v>100000</v>
      </c>
      <c r="L17" s="280">
        <v>0.75</v>
      </c>
      <c r="M17" s="190">
        <v>0.14399999999999999</v>
      </c>
      <c r="N17" s="154" t="s">
        <v>23</v>
      </c>
      <c r="O17" s="155" t="s">
        <v>618</v>
      </c>
      <c r="P17" s="154" t="s">
        <v>619</v>
      </c>
      <c r="Q17" s="154"/>
      <c r="R17" s="154"/>
      <c r="S17" s="154" t="s">
        <v>118</v>
      </c>
      <c r="T17" s="154"/>
      <c r="U17" s="191">
        <v>50000</v>
      </c>
      <c r="V17" s="156" t="s">
        <v>21</v>
      </c>
      <c r="W17" s="154"/>
      <c r="X17" s="192">
        <f t="shared" si="0"/>
        <v>34364.875</v>
      </c>
      <c r="Y17" s="192">
        <f t="shared" si="1"/>
        <v>10721.841</v>
      </c>
      <c r="Z17" s="192">
        <f t="shared" si="2"/>
        <v>45086.716</v>
      </c>
      <c r="AA17" s="193"/>
      <c r="AB17" s="281" t="s">
        <v>23</v>
      </c>
      <c r="AC17" s="221"/>
    </row>
    <row r="18" spans="1:29" ht="69.95">
      <c r="A18" s="148" t="s">
        <v>506</v>
      </c>
      <c r="B18" s="159" t="s">
        <v>408</v>
      </c>
      <c r="C18" s="159" t="s">
        <v>620</v>
      </c>
      <c r="D18" s="197">
        <v>1</v>
      </c>
      <c r="E18" s="160" t="s">
        <v>158</v>
      </c>
      <c r="F18" s="159" t="s">
        <v>621</v>
      </c>
      <c r="G18" s="161" t="s">
        <v>622</v>
      </c>
      <c r="H18" s="159" t="s">
        <v>623</v>
      </c>
      <c r="I18" s="159" t="s">
        <v>21</v>
      </c>
      <c r="J18" s="194">
        <f>142042*1.03</f>
        <v>146303.26</v>
      </c>
      <c r="K18" s="195">
        <v>90000</v>
      </c>
      <c r="L18" s="280">
        <v>0.75</v>
      </c>
      <c r="M18" s="198">
        <v>0</v>
      </c>
      <c r="N18" s="154" t="s">
        <v>23</v>
      </c>
      <c r="O18" s="155" t="s">
        <v>569</v>
      </c>
      <c r="P18" s="156"/>
      <c r="Q18" s="156" t="s">
        <v>624</v>
      </c>
      <c r="R18" s="156" t="s">
        <v>23</v>
      </c>
      <c r="S18" s="156" t="s">
        <v>102</v>
      </c>
      <c r="T18" s="156" t="s">
        <v>21</v>
      </c>
      <c r="U18" s="156">
        <v>7233.3</v>
      </c>
      <c r="V18" s="156" t="s">
        <v>21</v>
      </c>
      <c r="W18" s="156"/>
      <c r="X18" s="192">
        <f t="shared" si="0"/>
        <v>9863.7225000000035</v>
      </c>
      <c r="Y18" s="192">
        <f t="shared" si="1"/>
        <v>3077.481420000001</v>
      </c>
      <c r="Z18" s="192">
        <f t="shared" si="2"/>
        <v>12941.203920000004</v>
      </c>
      <c r="AA18" s="224" t="s">
        <v>625</v>
      </c>
      <c r="AB18" s="284" t="s">
        <v>21</v>
      </c>
      <c r="AC18" s="283" t="s">
        <v>626</v>
      </c>
    </row>
    <row r="19" spans="1:29" ht="69.95">
      <c r="A19" s="148" t="s">
        <v>40</v>
      </c>
      <c r="B19" s="161" t="s">
        <v>469</v>
      </c>
      <c r="C19" s="148" t="s">
        <v>627</v>
      </c>
      <c r="D19" s="185">
        <v>1</v>
      </c>
      <c r="E19" s="149" t="s">
        <v>488</v>
      </c>
      <c r="F19" s="148" t="s">
        <v>628</v>
      </c>
      <c r="G19" s="186"/>
      <c r="H19" s="148" t="s">
        <v>629</v>
      </c>
      <c r="I19" s="148" t="s">
        <v>38</v>
      </c>
      <c r="J19" s="194">
        <v>218525</v>
      </c>
      <c r="K19" s="195">
        <v>100000</v>
      </c>
      <c r="L19" s="280">
        <v>0.75</v>
      </c>
      <c r="M19" s="198">
        <v>0.25</v>
      </c>
      <c r="N19" s="154" t="s">
        <v>246</v>
      </c>
      <c r="O19" s="155"/>
      <c r="P19" s="156"/>
      <c r="Q19" s="156" t="s">
        <v>38</v>
      </c>
      <c r="R19" s="156" t="s">
        <v>38</v>
      </c>
      <c r="S19" s="156" t="s">
        <v>212</v>
      </c>
      <c r="T19" s="156" t="s">
        <v>21</v>
      </c>
      <c r="U19" s="191" t="s">
        <v>630</v>
      </c>
      <c r="V19" s="191" t="s">
        <v>631</v>
      </c>
      <c r="W19" s="156"/>
      <c r="X19" s="192">
        <f>MAX(((J19*L19)-K19)/2,0)</f>
        <v>31946.875</v>
      </c>
      <c r="Y19" s="192">
        <f t="shared" si="1"/>
        <v>9967.4249999999993</v>
      </c>
      <c r="Z19" s="192">
        <f t="shared" si="2"/>
        <v>41914.300000000003</v>
      </c>
      <c r="AA19" s="193"/>
      <c r="AB19" s="281" t="s">
        <v>579</v>
      </c>
      <c r="AC19" s="283" t="s">
        <v>632</v>
      </c>
    </row>
    <row r="20" spans="1:29" ht="90.95">
      <c r="A20" s="148" t="s">
        <v>40</v>
      </c>
      <c r="B20" s="161" t="s">
        <v>469</v>
      </c>
      <c r="C20" s="148" t="s">
        <v>487</v>
      </c>
      <c r="D20" s="185">
        <v>1</v>
      </c>
      <c r="E20" s="149" t="s">
        <v>488</v>
      </c>
      <c r="F20" s="148" t="s">
        <v>489</v>
      </c>
      <c r="G20" s="285" t="s">
        <v>490</v>
      </c>
      <c r="H20" s="148" t="s">
        <v>491</v>
      </c>
      <c r="I20" s="148" t="s">
        <v>38</v>
      </c>
      <c r="J20" s="194">
        <v>219576</v>
      </c>
      <c r="K20" s="195">
        <v>100000</v>
      </c>
      <c r="L20" s="280">
        <v>0.75</v>
      </c>
      <c r="M20" s="198">
        <v>0</v>
      </c>
      <c r="N20" s="154" t="s">
        <v>246</v>
      </c>
      <c r="O20" s="155"/>
      <c r="P20" s="156"/>
      <c r="Q20" s="156" t="s">
        <v>38</v>
      </c>
      <c r="R20" s="156" t="s">
        <v>38</v>
      </c>
      <c r="S20" s="156" t="s">
        <v>212</v>
      </c>
      <c r="T20" s="156" t="s">
        <v>21</v>
      </c>
      <c r="U20" s="156" t="s">
        <v>633</v>
      </c>
      <c r="V20" s="191" t="s">
        <v>634</v>
      </c>
      <c r="W20" s="156"/>
      <c r="X20" s="192">
        <f>MAX(((J20*L20)-K20)/2,0)</f>
        <v>32341</v>
      </c>
      <c r="Y20" s="192">
        <f t="shared" si="1"/>
        <v>10090.392</v>
      </c>
      <c r="Z20" s="192">
        <f t="shared" si="2"/>
        <v>42431.392</v>
      </c>
      <c r="AA20" s="286"/>
      <c r="AB20" s="281" t="s">
        <v>579</v>
      </c>
      <c r="AC20" s="286" t="s">
        <v>635</v>
      </c>
    </row>
    <row r="21" spans="1:29">
      <c r="A21" s="202"/>
      <c r="B21" s="202"/>
      <c r="C21" s="202"/>
      <c r="D21" s="203"/>
      <c r="E21" s="203"/>
      <c r="F21" s="202"/>
      <c r="G21" s="204"/>
      <c r="H21" s="202"/>
      <c r="I21" s="159"/>
      <c r="J21" s="194"/>
      <c r="K21" s="209"/>
      <c r="L21" s="280"/>
      <c r="M21" s="206"/>
      <c r="N21" s="201"/>
      <c r="O21" s="207"/>
      <c r="P21" s="208"/>
      <c r="Q21" s="208"/>
      <c r="R21" s="208"/>
      <c r="S21" s="208"/>
      <c r="T21" s="208"/>
      <c r="U21" s="208"/>
      <c r="V21" s="208"/>
      <c r="W21" s="208"/>
      <c r="X21" s="192">
        <f>MAX(((J21*L21)-K21)/2,0)</f>
        <v>0</v>
      </c>
      <c r="Y21" s="192">
        <f t="shared" si="1"/>
        <v>0</v>
      </c>
      <c r="Z21" s="192">
        <f>X21+Y21</f>
        <v>0</v>
      </c>
      <c r="AA21" s="193"/>
      <c r="AB21" s="221"/>
      <c r="AC21" s="221"/>
    </row>
    <row r="22" spans="1:29">
      <c r="X22" s="19"/>
      <c r="Y22" s="19"/>
      <c r="Z22" s="19"/>
    </row>
    <row r="23" spans="1:29">
      <c r="W23" s="182" t="s">
        <v>413</v>
      </c>
      <c r="X23" s="183">
        <f>SUM(X3:X22)</f>
        <v>582219.21</v>
      </c>
      <c r="Y23" s="183">
        <f>SUM(Y3:Y22)</f>
        <v>181652.39352000001</v>
      </c>
      <c r="Z23" s="183">
        <f>SUM(Z3:Z22)</f>
        <v>763871.60352000012</v>
      </c>
    </row>
    <row r="24" spans="1:29">
      <c r="X24" s="19"/>
      <c r="Y24" s="19"/>
      <c r="Z24" s="19"/>
    </row>
    <row r="25" spans="1:29">
      <c r="X25" s="19"/>
      <c r="Y25" s="19"/>
      <c r="Z25" s="19"/>
    </row>
    <row r="26" spans="1:29">
      <c r="X26" s="19"/>
      <c r="Y26" s="19"/>
      <c r="Z26" s="19"/>
    </row>
    <row r="27" spans="1:29">
      <c r="X27" s="19"/>
      <c r="Y27" s="19"/>
      <c r="Z27" s="19"/>
    </row>
    <row r="28" spans="1:29" ht="18">
      <c r="A28" s="33" t="s">
        <v>136</v>
      </c>
      <c r="B28" s="33"/>
      <c r="C28" s="34"/>
      <c r="D28" s="34"/>
      <c r="E28" s="34"/>
      <c r="X28" s="19"/>
      <c r="Y28" s="19"/>
      <c r="Z28" s="19"/>
    </row>
    <row r="29" spans="1:29" ht="18">
      <c r="A29" s="33"/>
      <c r="B29" s="33"/>
      <c r="C29" s="34"/>
      <c r="D29" s="34"/>
      <c r="E29" s="34"/>
      <c r="X29" s="19"/>
      <c r="Y29" s="19"/>
      <c r="Z29" s="19"/>
    </row>
    <row r="30" spans="1:29">
      <c r="A30" s="35" t="s">
        <v>137</v>
      </c>
      <c r="B30" s="35"/>
      <c r="C30" s="34"/>
      <c r="D30" s="34"/>
      <c r="E30" s="34"/>
      <c r="X30" s="19"/>
      <c r="Y30" s="19"/>
      <c r="Z30" s="19"/>
    </row>
    <row r="31" spans="1:29">
      <c r="A31" s="35" t="s">
        <v>138</v>
      </c>
      <c r="B31" s="35"/>
      <c r="C31" s="34"/>
      <c r="D31" s="34"/>
      <c r="E31" s="34"/>
      <c r="X31" s="19"/>
      <c r="Y31" s="19"/>
      <c r="Z31" s="19"/>
    </row>
    <row r="32" spans="1:29">
      <c r="A32" s="35" t="s">
        <v>139</v>
      </c>
      <c r="B32" s="35"/>
      <c r="C32" s="34"/>
      <c r="D32" s="34"/>
      <c r="E32" s="34"/>
      <c r="X32" s="19"/>
      <c r="Y32" s="19"/>
      <c r="Z32" s="19"/>
    </row>
    <row r="33" spans="1:26">
      <c r="A33" s="35" t="s">
        <v>140</v>
      </c>
      <c r="B33" s="35"/>
      <c r="C33" s="34"/>
      <c r="D33" s="34"/>
      <c r="E33" s="34"/>
      <c r="X33" s="19"/>
      <c r="Y33" s="19"/>
      <c r="Z33" s="19"/>
    </row>
    <row r="34" spans="1:26">
      <c r="A34" s="35" t="s">
        <v>141</v>
      </c>
      <c r="B34" s="35"/>
      <c r="C34" s="34"/>
      <c r="D34" s="34"/>
      <c r="E34" s="34"/>
      <c r="X34" s="19"/>
      <c r="Y34" s="19"/>
      <c r="Z34" s="19"/>
    </row>
    <row r="35" spans="1:26">
      <c r="A35" s="35" t="s">
        <v>636</v>
      </c>
      <c r="B35" s="35"/>
      <c r="C35" s="34"/>
      <c r="D35" s="34"/>
      <c r="E35" s="34"/>
      <c r="X35" s="19"/>
      <c r="Y35" s="19"/>
      <c r="Z35" s="19"/>
    </row>
    <row r="36" spans="1:26">
      <c r="A36" s="35" t="s">
        <v>637</v>
      </c>
      <c r="B36" s="35"/>
      <c r="C36" s="34"/>
      <c r="D36" s="34"/>
      <c r="E36" s="34"/>
      <c r="X36" s="19"/>
      <c r="Y36" s="19"/>
      <c r="Z36" s="19"/>
    </row>
    <row r="37" spans="1:26">
      <c r="A37" s="35" t="s">
        <v>144</v>
      </c>
      <c r="B37" s="35"/>
      <c r="C37" s="34"/>
      <c r="D37" s="34"/>
      <c r="E37" s="34"/>
      <c r="X37" s="19"/>
      <c r="Y37" s="19"/>
      <c r="Z37" s="19"/>
    </row>
    <row r="38" spans="1:26">
      <c r="A38" s="35" t="s">
        <v>145</v>
      </c>
      <c r="B38" s="35"/>
      <c r="C38" s="34"/>
      <c r="D38" s="34"/>
      <c r="E38" s="34"/>
      <c r="X38" s="19"/>
      <c r="Y38" s="19"/>
      <c r="Z38" s="19"/>
    </row>
    <row r="39" spans="1:26">
      <c r="A39" s="36" t="s">
        <v>146</v>
      </c>
      <c r="B39" s="36"/>
      <c r="C39" s="34"/>
      <c r="D39" s="34"/>
      <c r="E39" s="34"/>
      <c r="X39" s="19"/>
      <c r="Y39" s="19"/>
      <c r="Z39" s="19"/>
    </row>
    <row r="40" spans="1:26">
      <c r="X40" s="19"/>
      <c r="Y40" s="19"/>
      <c r="Z40" s="19"/>
    </row>
    <row r="41" spans="1:26">
      <c r="X41" s="19"/>
      <c r="Y41" s="19"/>
      <c r="Z41" s="19"/>
    </row>
    <row r="42" spans="1:26">
      <c r="X42" s="19"/>
      <c r="Y42" s="19"/>
      <c r="Z42" s="19"/>
    </row>
    <row r="43" spans="1:26">
      <c r="X43" s="19"/>
      <c r="Y43" s="19"/>
      <c r="Z43" s="19"/>
    </row>
    <row r="44" spans="1:26">
      <c r="X44" s="19"/>
      <c r="Y44" s="19"/>
      <c r="Z44" s="19"/>
    </row>
    <row r="45" spans="1:26">
      <c r="X45" s="19"/>
      <c r="Y45" s="19"/>
      <c r="Z45" s="19"/>
    </row>
    <row r="46" spans="1:26">
      <c r="X46" s="19"/>
      <c r="Y46" s="19"/>
      <c r="Z46" s="19"/>
    </row>
  </sheetData>
  <autoFilter ref="A2:Z15" xr:uid="{00000000-0009-0000-0000-000009000000}"/>
  <dataValidations count="2">
    <dataValidation type="list" allowBlank="1" showInputMessage="1" showErrorMessage="1" sqref="AB5 AB14 AB19:AB20" xr:uid="{00000000-0002-0000-0900-000000000000}">
      <formula1>"Yes, No, Unsure"</formula1>
    </dataValidation>
    <dataValidation type="list" allowBlank="1" showInputMessage="1" showErrorMessage="1" sqref="AB3:AB4 AB6:AB13 AB15:AB18" xr:uid="{00000000-0002-0000-0900-000001000000}">
      <formula1>"Yes, No"</formula1>
    </dataValidation>
  </dataValidations>
  <pageMargins left="0.7" right="0.7" top="0.75" bottom="0.75" header="0.3" footer="0.3"/>
  <pageSetup orientation="portrait" horizontalDpi="4294967293" verticalDpi="4294967293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50"/>
  <sheetViews>
    <sheetView tabSelected="1" zoomScale="85" zoomScaleNormal="100" workbookViewId="0">
      <pane xSplit="3" ySplit="2" topLeftCell="D4" activePane="bottomRight" state="frozen"/>
      <selection pane="bottomRight" activeCell="F6" sqref="F6"/>
      <selection pane="bottomLeft" activeCell="A3" sqref="A3"/>
      <selection pane="topRight" activeCell="D1" sqref="D1"/>
    </sheetView>
  </sheetViews>
  <sheetFormatPr defaultColWidth="8.875" defaultRowHeight="14.1"/>
  <cols>
    <col min="1" max="1" width="22.375" customWidth="1"/>
    <col min="2" max="2" width="23.125" bestFit="1" customWidth="1"/>
    <col min="3" max="3" width="16.625" bestFit="1" customWidth="1"/>
    <col min="4" max="4" width="8.375" bestFit="1" customWidth="1"/>
    <col min="5" max="5" width="25.375" bestFit="1" customWidth="1"/>
    <col min="6" max="6" width="28.875" bestFit="1" customWidth="1"/>
    <col min="7" max="7" width="14.875" bestFit="1" customWidth="1"/>
    <col min="8" max="8" width="19.125" customWidth="1"/>
    <col min="9" max="9" width="23.125" bestFit="1" customWidth="1"/>
    <col min="10" max="10" width="16.625" style="138" customWidth="1"/>
    <col min="11" max="11" width="13.875" style="184" customWidth="1"/>
    <col min="12" max="12" width="13.875" style="138" customWidth="1"/>
    <col min="13" max="13" width="9.5" style="139" bestFit="1" customWidth="1"/>
    <col min="14" max="14" width="17.5" customWidth="1"/>
    <col min="15" max="15" width="25.125" customWidth="1"/>
    <col min="16" max="16" width="26.125" customWidth="1"/>
    <col min="17" max="17" width="16.5" style="17" customWidth="1"/>
    <col min="18" max="18" width="17.5" customWidth="1"/>
    <col min="19" max="19" width="10.375" customWidth="1"/>
    <col min="20" max="20" width="18" customWidth="1"/>
    <col min="21" max="21" width="15.625" customWidth="1"/>
    <col min="22" max="22" width="14.625" customWidth="1"/>
    <col min="23" max="23" width="15.875" bestFit="1" customWidth="1"/>
    <col min="24" max="25" width="23.125" customWidth="1"/>
    <col min="26" max="26" width="22.125" bestFit="1" customWidth="1"/>
    <col min="27" max="27" width="13.5" bestFit="1" customWidth="1"/>
    <col min="28" max="28" width="17.5" bestFit="1" customWidth="1"/>
    <col min="29" max="30" width="43.375" hidden="1" customWidth="1"/>
    <col min="31" max="31" width="37.5" style="19" customWidth="1"/>
    <col min="32" max="32" width="11.125" bestFit="1" customWidth="1"/>
    <col min="33" max="33" width="13.5" bestFit="1" customWidth="1"/>
    <col min="34" max="34" width="12.375" customWidth="1"/>
    <col min="35" max="35" width="11.625" bestFit="1" customWidth="1"/>
    <col min="36" max="36" width="21.5" customWidth="1"/>
  </cols>
  <sheetData>
    <row r="1" spans="1:36">
      <c r="AA1" s="287">
        <v>0.312</v>
      </c>
      <c r="AG1" s="34"/>
      <c r="AH1" s="34"/>
      <c r="AI1" s="34"/>
    </row>
    <row r="2" spans="1:36" s="9" customFormat="1" ht="66.75" customHeight="1">
      <c r="A2" s="141" t="s">
        <v>0</v>
      </c>
      <c r="B2" s="141" t="s">
        <v>347</v>
      </c>
      <c r="C2" s="141" t="s">
        <v>1</v>
      </c>
      <c r="D2" s="142" t="s">
        <v>83</v>
      </c>
      <c r="E2" s="143" t="s">
        <v>84</v>
      </c>
      <c r="F2" s="143" t="s">
        <v>85</v>
      </c>
      <c r="G2" s="143" t="s">
        <v>86</v>
      </c>
      <c r="H2" s="143" t="s">
        <v>2</v>
      </c>
      <c r="I2" s="143" t="s">
        <v>87</v>
      </c>
      <c r="J2" s="145" t="s">
        <v>638</v>
      </c>
      <c r="K2" s="144" t="s">
        <v>4</v>
      </c>
      <c r="L2" s="145" t="s">
        <v>417</v>
      </c>
      <c r="M2" s="146" t="s">
        <v>349</v>
      </c>
      <c r="N2" s="143" t="s">
        <v>8</v>
      </c>
      <c r="O2" s="143" t="s">
        <v>89</v>
      </c>
      <c r="P2" s="143" t="s">
        <v>90</v>
      </c>
      <c r="Q2" s="143" t="s">
        <v>238</v>
      </c>
      <c r="R2" s="143" t="s">
        <v>12</v>
      </c>
      <c r="S2" s="143" t="s">
        <v>91</v>
      </c>
      <c r="T2" s="143" t="s">
        <v>239</v>
      </c>
      <c r="U2" s="143" t="s">
        <v>93</v>
      </c>
      <c r="V2" s="143" t="s">
        <v>14</v>
      </c>
      <c r="W2" s="288" t="s">
        <v>94</v>
      </c>
      <c r="X2" s="288" t="s">
        <v>639</v>
      </c>
      <c r="Y2" s="288" t="s">
        <v>640</v>
      </c>
      <c r="Z2" s="147" t="s">
        <v>5</v>
      </c>
      <c r="AA2" s="147" t="s">
        <v>350</v>
      </c>
      <c r="AB2" s="147" t="s">
        <v>351</v>
      </c>
      <c r="AC2" s="147" t="s">
        <v>418</v>
      </c>
      <c r="AD2" s="147" t="s">
        <v>641</v>
      </c>
      <c r="AE2" s="289" t="s">
        <v>565</v>
      </c>
      <c r="AF2" s="214" t="s">
        <v>525</v>
      </c>
      <c r="AG2" s="214" t="s">
        <v>526</v>
      </c>
      <c r="AH2" s="214" t="s">
        <v>642</v>
      </c>
      <c r="AI2" s="214" t="s">
        <v>528</v>
      </c>
      <c r="AJ2" s="9" t="s">
        <v>643</v>
      </c>
    </row>
    <row r="3" spans="1:36" ht="78">
      <c r="A3" s="148" t="s">
        <v>322</v>
      </c>
      <c r="B3" s="148" t="s">
        <v>512</v>
      </c>
      <c r="C3" s="290" t="s">
        <v>323</v>
      </c>
      <c r="D3" s="185">
        <v>1</v>
      </c>
      <c r="E3" s="149" t="s">
        <v>158</v>
      </c>
      <c r="F3" s="148" t="s">
        <v>644</v>
      </c>
      <c r="G3" s="150" t="s">
        <v>567</v>
      </c>
      <c r="H3" s="148" t="s">
        <v>645</v>
      </c>
      <c r="I3" s="148" t="s">
        <v>23</v>
      </c>
      <c r="J3" s="152">
        <f>225042*1.03</f>
        <v>231793.26</v>
      </c>
      <c r="K3" s="188">
        <v>100000</v>
      </c>
      <c r="L3" s="280">
        <v>0.75</v>
      </c>
      <c r="M3" s="190">
        <v>0.25</v>
      </c>
      <c r="N3" s="154" t="s">
        <v>23</v>
      </c>
      <c r="O3" s="155" t="s">
        <v>569</v>
      </c>
      <c r="P3" s="154" t="s">
        <v>570</v>
      </c>
      <c r="Q3" s="154" t="s">
        <v>23</v>
      </c>
      <c r="R3" s="154" t="s">
        <v>23</v>
      </c>
      <c r="S3" s="154" t="s">
        <v>118</v>
      </c>
      <c r="T3" s="154" t="s">
        <v>23</v>
      </c>
      <c r="U3" s="156">
        <v>38536.080000000002</v>
      </c>
      <c r="V3" s="156" t="s">
        <v>21</v>
      </c>
      <c r="W3" s="154"/>
      <c r="X3" s="148">
        <v>8</v>
      </c>
      <c r="Y3" s="148" t="s">
        <v>518</v>
      </c>
      <c r="Z3" s="157">
        <v>10774.16</v>
      </c>
      <c r="AA3" s="157">
        <f>Z3*$AA$1</f>
        <v>3361.5379199999998</v>
      </c>
      <c r="AB3" s="157">
        <f>Z3+AA3</f>
        <v>14135.697919999999</v>
      </c>
      <c r="AC3" s="291" t="s">
        <v>646</v>
      </c>
      <c r="AD3" s="292" t="s">
        <v>647</v>
      </c>
      <c r="AE3" s="293">
        <v>14135.7</v>
      </c>
      <c r="AF3" s="284"/>
      <c r="AG3" s="294" t="s">
        <v>648</v>
      </c>
      <c r="AH3" s="284" t="s">
        <v>531</v>
      </c>
      <c r="AI3" s="295" t="s">
        <v>649</v>
      </c>
      <c r="AJ3" s="284">
        <f>IF(Y3="Clinical",9950001330,IF(Y3="Research", 9950001348, " "))</f>
        <v>9950001330</v>
      </c>
    </row>
    <row r="4" spans="1:36" ht="104.1">
      <c r="A4" s="148" t="s">
        <v>322</v>
      </c>
      <c r="B4" s="148" t="s">
        <v>512</v>
      </c>
      <c r="C4" s="290" t="s">
        <v>650</v>
      </c>
      <c r="D4" s="185">
        <v>1</v>
      </c>
      <c r="E4" s="149" t="s">
        <v>158</v>
      </c>
      <c r="F4" s="148" t="s">
        <v>651</v>
      </c>
      <c r="G4" s="150" t="s">
        <v>652</v>
      </c>
      <c r="H4" s="148" t="s">
        <v>653</v>
      </c>
      <c r="I4" s="148" t="s">
        <v>23</v>
      </c>
      <c r="J4" s="152">
        <f>127313*1.03</f>
        <v>131132.39000000001</v>
      </c>
      <c r="K4" s="188">
        <v>90000</v>
      </c>
      <c r="L4" s="280">
        <v>0.75</v>
      </c>
      <c r="M4" s="190">
        <v>0.25</v>
      </c>
      <c r="N4" s="154" t="s">
        <v>23</v>
      </c>
      <c r="O4" s="155" t="s">
        <v>654</v>
      </c>
      <c r="P4" s="154" t="s">
        <v>570</v>
      </c>
      <c r="Q4" s="154" t="s">
        <v>23</v>
      </c>
      <c r="R4" s="154" t="s">
        <v>23</v>
      </c>
      <c r="S4" s="154" t="s">
        <v>118</v>
      </c>
      <c r="T4" s="154"/>
      <c r="U4" s="156"/>
      <c r="V4" s="156" t="s">
        <v>21</v>
      </c>
      <c r="W4" s="154"/>
      <c r="X4" s="148">
        <v>12</v>
      </c>
      <c r="Y4" s="148" t="s">
        <v>519</v>
      </c>
      <c r="Z4" s="157">
        <f>MAX(((J4*L4)-K4)/2*X4/12,0)</f>
        <v>4174.6462500000052</v>
      </c>
      <c r="AA4" s="157">
        <f t="shared" ref="AA4:AA20" si="0">Z4*$AA$1</f>
        <v>1302.4896300000016</v>
      </c>
      <c r="AB4" s="157">
        <f t="shared" ref="AB4" si="1">Z4+AA4</f>
        <v>5477.1358800000071</v>
      </c>
      <c r="AC4" s="296"/>
      <c r="AD4" s="292" t="s">
        <v>655</v>
      </c>
      <c r="AE4" s="293">
        <v>5477.14</v>
      </c>
      <c r="AF4" s="284"/>
      <c r="AG4" s="294" t="s">
        <v>648</v>
      </c>
      <c r="AH4" s="284" t="s">
        <v>531</v>
      </c>
      <c r="AI4" s="295">
        <v>3191573</v>
      </c>
      <c r="AJ4" s="284">
        <f t="shared" ref="AJ4:AJ25" si="2">IF(Y4="Clinical",9950001330,IF(Y4="Research", 9950001348, " "))</f>
        <v>9950001348</v>
      </c>
    </row>
    <row r="5" spans="1:36" ht="65.099999999999994">
      <c r="A5" s="148" t="s">
        <v>322</v>
      </c>
      <c r="B5" s="148" t="s">
        <v>656</v>
      </c>
      <c r="C5" s="290" t="s">
        <v>657</v>
      </c>
      <c r="D5" s="185">
        <v>1</v>
      </c>
      <c r="E5" s="149" t="s">
        <v>158</v>
      </c>
      <c r="F5" s="148" t="s">
        <v>658</v>
      </c>
      <c r="G5" s="150" t="s">
        <v>659</v>
      </c>
      <c r="H5" s="148" t="s">
        <v>660</v>
      </c>
      <c r="I5" s="148" t="s">
        <v>23</v>
      </c>
      <c r="J5" s="152">
        <f>199220.03*1.03</f>
        <v>205196.63090000002</v>
      </c>
      <c r="K5" s="188">
        <v>29797</v>
      </c>
      <c r="L5" s="280">
        <v>0.75</v>
      </c>
      <c r="M5" s="190">
        <v>0.26500000000000001</v>
      </c>
      <c r="N5" s="154" t="s">
        <v>196</v>
      </c>
      <c r="O5" s="155"/>
      <c r="P5" s="154"/>
      <c r="Q5" s="154" t="s">
        <v>23</v>
      </c>
      <c r="R5" s="154" t="s">
        <v>23</v>
      </c>
      <c r="S5" s="154" t="s">
        <v>102</v>
      </c>
      <c r="T5" s="154" t="s">
        <v>196</v>
      </c>
      <c r="U5" s="156">
        <v>0</v>
      </c>
      <c r="V5" s="156" t="s">
        <v>21</v>
      </c>
      <c r="W5" s="154" t="s">
        <v>20</v>
      </c>
      <c r="X5" s="148">
        <v>12</v>
      </c>
      <c r="Y5" s="148" t="s">
        <v>518</v>
      </c>
      <c r="Z5" s="157">
        <v>31263.97</v>
      </c>
      <c r="AA5" s="157">
        <f>Z5*$AA$1</f>
        <v>9754.3586400000004</v>
      </c>
      <c r="AB5" s="157">
        <f>Z5+AA5</f>
        <v>41018.32864</v>
      </c>
      <c r="AC5" s="292"/>
      <c r="AD5" s="292" t="s">
        <v>661</v>
      </c>
      <c r="AE5" s="293">
        <v>41018.33</v>
      </c>
      <c r="AF5" s="284"/>
      <c r="AG5" s="294" t="s">
        <v>648</v>
      </c>
      <c r="AH5" s="284" t="s">
        <v>531</v>
      </c>
      <c r="AI5" s="295" t="s">
        <v>662</v>
      </c>
      <c r="AJ5" s="284">
        <f t="shared" si="2"/>
        <v>9950001330</v>
      </c>
    </row>
    <row r="6" spans="1:36" ht="104.1">
      <c r="A6" s="148" t="s">
        <v>322</v>
      </c>
      <c r="B6" s="148" t="s">
        <v>656</v>
      </c>
      <c r="C6" s="290" t="s">
        <v>663</v>
      </c>
      <c r="D6" s="185">
        <v>1</v>
      </c>
      <c r="E6" s="149" t="s">
        <v>158</v>
      </c>
      <c r="F6" s="148" t="s">
        <v>664</v>
      </c>
      <c r="G6" s="150" t="s">
        <v>665</v>
      </c>
      <c r="H6" s="148" t="s">
        <v>660</v>
      </c>
      <c r="I6" s="148" t="s">
        <v>23</v>
      </c>
      <c r="J6" s="152">
        <f>93000*1.03</f>
        <v>95790</v>
      </c>
      <c r="K6" s="188">
        <v>52365</v>
      </c>
      <c r="L6" s="280">
        <v>0.75</v>
      </c>
      <c r="M6" s="190">
        <v>0</v>
      </c>
      <c r="N6" s="154" t="s">
        <v>196</v>
      </c>
      <c r="O6" s="155"/>
      <c r="P6" s="154"/>
      <c r="Q6" s="154" t="s">
        <v>23</v>
      </c>
      <c r="R6" s="154" t="s">
        <v>23</v>
      </c>
      <c r="S6" s="154" t="s">
        <v>102</v>
      </c>
      <c r="T6" s="154" t="s">
        <v>196</v>
      </c>
      <c r="U6" s="156">
        <v>0</v>
      </c>
      <c r="V6" s="156" t="s">
        <v>21</v>
      </c>
      <c r="W6" s="154" t="s">
        <v>20</v>
      </c>
      <c r="X6" s="148">
        <v>12</v>
      </c>
      <c r="Y6" s="148" t="s">
        <v>519</v>
      </c>
      <c r="Z6" s="157">
        <f>MAX(((J6*L6)-K6)/2*X6/12,0)</f>
        <v>9738.75</v>
      </c>
      <c r="AA6" s="157">
        <f t="shared" si="0"/>
        <v>3038.49</v>
      </c>
      <c r="AB6" s="157">
        <f>Z6+AA6</f>
        <v>12777.24</v>
      </c>
      <c r="AC6" s="296"/>
      <c r="AD6" s="292" t="s">
        <v>655</v>
      </c>
      <c r="AE6" s="293">
        <v>12777.24</v>
      </c>
      <c r="AF6" s="284"/>
      <c r="AG6" s="294" t="s">
        <v>648</v>
      </c>
      <c r="AH6" s="284" t="s">
        <v>531</v>
      </c>
      <c r="AI6" s="295" t="s">
        <v>666</v>
      </c>
      <c r="AJ6" s="284">
        <f t="shared" si="2"/>
        <v>9950001348</v>
      </c>
    </row>
    <row r="7" spans="1:36" ht="90.95">
      <c r="A7" s="148" t="s">
        <v>571</v>
      </c>
      <c r="B7" s="159" t="s">
        <v>419</v>
      </c>
      <c r="C7" s="297" t="s">
        <v>427</v>
      </c>
      <c r="D7" s="298">
        <v>1</v>
      </c>
      <c r="E7" s="160" t="s">
        <v>421</v>
      </c>
      <c r="F7" s="159" t="s">
        <v>428</v>
      </c>
      <c r="G7" s="161" t="s">
        <v>429</v>
      </c>
      <c r="H7" s="159" t="s">
        <v>667</v>
      </c>
      <c r="I7" s="159" t="s">
        <v>23</v>
      </c>
      <c r="J7" s="163">
        <f>202143*1.03</f>
        <v>208207.29</v>
      </c>
      <c r="K7" s="188">
        <v>100000</v>
      </c>
      <c r="L7" s="280">
        <v>0.75</v>
      </c>
      <c r="M7" s="198">
        <v>0.25</v>
      </c>
      <c r="N7" s="154" t="s">
        <v>23</v>
      </c>
      <c r="O7" s="155" t="s">
        <v>573</v>
      </c>
      <c r="P7" s="156" t="s">
        <v>668</v>
      </c>
      <c r="Q7" s="156" t="s">
        <v>23</v>
      </c>
      <c r="R7" s="156" t="s">
        <v>23</v>
      </c>
      <c r="S7" s="154" t="s">
        <v>118</v>
      </c>
      <c r="T7" s="156" t="s">
        <v>21</v>
      </c>
      <c r="U7" s="156">
        <v>28304.68</v>
      </c>
      <c r="V7" s="156" t="s">
        <v>20</v>
      </c>
      <c r="W7" s="191" t="s">
        <v>669</v>
      </c>
      <c r="X7" s="159">
        <v>12</v>
      </c>
      <c r="Y7" s="159" t="s">
        <v>518</v>
      </c>
      <c r="Z7" s="157">
        <f t="shared" ref="Z7:Z25" si="3">MAX(((J7*L7)-K7)/2*X7/12,0)</f>
        <v>28077.733749999999</v>
      </c>
      <c r="AA7" s="157">
        <f t="shared" si="0"/>
        <v>8760.2529300000006</v>
      </c>
      <c r="AB7" s="157">
        <f>Z7+AA7</f>
        <v>36837.986680000002</v>
      </c>
      <c r="AC7" s="223" t="s">
        <v>669</v>
      </c>
      <c r="AD7" s="292" t="s">
        <v>670</v>
      </c>
      <c r="AE7" s="299">
        <v>36837.99</v>
      </c>
      <c r="AF7" s="284"/>
      <c r="AG7" s="294" t="s">
        <v>671</v>
      </c>
      <c r="AH7" s="284" t="s">
        <v>531</v>
      </c>
      <c r="AI7" s="295" t="s">
        <v>672</v>
      </c>
      <c r="AJ7" s="284">
        <f t="shared" si="2"/>
        <v>9950001330</v>
      </c>
    </row>
    <row r="8" spans="1:36" ht="51.95">
      <c r="A8" s="148" t="s">
        <v>305</v>
      </c>
      <c r="B8" s="159" t="s">
        <v>557</v>
      </c>
      <c r="C8" s="297" t="s">
        <v>558</v>
      </c>
      <c r="D8" s="298">
        <v>1</v>
      </c>
      <c r="E8" s="160" t="s">
        <v>158</v>
      </c>
      <c r="F8" s="159" t="s">
        <v>673</v>
      </c>
      <c r="G8" s="161" t="s">
        <v>674</v>
      </c>
      <c r="H8" s="159" t="s">
        <v>675</v>
      </c>
      <c r="I8" s="159" t="s">
        <v>23</v>
      </c>
      <c r="J8" s="163">
        <f>211587.99*1.03</f>
        <v>217935.62969999999</v>
      </c>
      <c r="K8" s="195">
        <v>100000</v>
      </c>
      <c r="L8" s="280">
        <v>0.75</v>
      </c>
      <c r="M8" s="198">
        <v>0.25</v>
      </c>
      <c r="N8" s="154" t="s">
        <v>23</v>
      </c>
      <c r="O8" s="155" t="s">
        <v>676</v>
      </c>
      <c r="P8" s="156">
        <v>0</v>
      </c>
      <c r="Q8" s="156" t="s">
        <v>23</v>
      </c>
      <c r="R8" s="156" t="s">
        <v>23</v>
      </c>
      <c r="S8" s="154" t="s">
        <v>118</v>
      </c>
      <c r="T8" s="156" t="s">
        <v>23</v>
      </c>
      <c r="U8" s="156">
        <v>36213.21</v>
      </c>
      <c r="V8" s="156" t="s">
        <v>23</v>
      </c>
      <c r="W8" s="156" t="s">
        <v>677</v>
      </c>
      <c r="X8" s="159">
        <v>12</v>
      </c>
      <c r="Y8" s="159" t="s">
        <v>518</v>
      </c>
      <c r="Z8" s="157">
        <f t="shared" si="3"/>
        <v>31725.861137500004</v>
      </c>
      <c r="AA8" s="157">
        <f t="shared" si="0"/>
        <v>9898.4686749000011</v>
      </c>
      <c r="AB8" s="157">
        <f t="shared" ref="AB8:AB25" si="4">Z8+AA8</f>
        <v>41624.329812400007</v>
      </c>
      <c r="AC8" s="296" t="s">
        <v>678</v>
      </c>
      <c r="AD8" s="292" t="s">
        <v>655</v>
      </c>
      <c r="AE8" s="293">
        <v>41624.33</v>
      </c>
      <c r="AF8" s="284"/>
      <c r="AG8" s="294" t="s">
        <v>679</v>
      </c>
      <c r="AH8" s="284" t="s">
        <v>531</v>
      </c>
      <c r="AI8" s="295" t="s">
        <v>680</v>
      </c>
      <c r="AJ8" s="284">
        <f t="shared" si="2"/>
        <v>9950001330</v>
      </c>
    </row>
    <row r="9" spans="1:36" ht="39">
      <c r="A9" s="148" t="s">
        <v>262</v>
      </c>
      <c r="B9" s="159" t="s">
        <v>681</v>
      </c>
      <c r="C9" s="297" t="s">
        <v>432</v>
      </c>
      <c r="D9" s="298">
        <v>1</v>
      </c>
      <c r="E9" s="160" t="s">
        <v>158</v>
      </c>
      <c r="F9" s="159" t="s">
        <v>682</v>
      </c>
      <c r="G9" s="161" t="s">
        <v>683</v>
      </c>
      <c r="H9" s="159" t="s">
        <v>684</v>
      </c>
      <c r="I9" s="159" t="s">
        <v>23</v>
      </c>
      <c r="J9" s="163">
        <f>217251*1.03</f>
        <v>223768.53</v>
      </c>
      <c r="K9" s="195">
        <v>50214</v>
      </c>
      <c r="L9" s="280">
        <v>0.75</v>
      </c>
      <c r="M9" s="198">
        <v>0.25</v>
      </c>
      <c r="N9" s="154" t="s">
        <v>23</v>
      </c>
      <c r="O9" s="155" t="s">
        <v>685</v>
      </c>
      <c r="P9" s="156">
        <f>((2077.47*2)*4)+0.24</f>
        <v>16620</v>
      </c>
      <c r="Q9" s="156" t="s">
        <v>23</v>
      </c>
      <c r="R9" s="156" t="s">
        <v>23</v>
      </c>
      <c r="S9" s="154" t="s">
        <v>118</v>
      </c>
      <c r="T9" s="156" t="s">
        <v>21</v>
      </c>
      <c r="U9" s="156">
        <v>49860</v>
      </c>
      <c r="V9" s="156" t="s">
        <v>21</v>
      </c>
      <c r="W9" s="156" t="s">
        <v>686</v>
      </c>
      <c r="X9" s="159">
        <v>12</v>
      </c>
      <c r="Y9" s="159" t="s">
        <v>518</v>
      </c>
      <c r="Z9" s="157">
        <v>31263.97</v>
      </c>
      <c r="AA9" s="157">
        <f>Z9*$AA$1</f>
        <v>9754.3586400000004</v>
      </c>
      <c r="AB9" s="157">
        <f t="shared" si="4"/>
        <v>41018.32864</v>
      </c>
      <c r="AC9" s="296" t="s">
        <v>678</v>
      </c>
      <c r="AD9" s="292" t="s">
        <v>687</v>
      </c>
      <c r="AE9" s="293" t="s">
        <v>688</v>
      </c>
      <c r="AF9" s="284"/>
      <c r="AG9" s="294" t="s">
        <v>689</v>
      </c>
      <c r="AH9" s="284" t="s">
        <v>531</v>
      </c>
      <c r="AI9" s="295" t="s">
        <v>690</v>
      </c>
      <c r="AJ9" s="284">
        <f t="shared" si="2"/>
        <v>9950001330</v>
      </c>
    </row>
    <row r="10" spans="1:36" ht="78">
      <c r="A10" s="148" t="s">
        <v>40</v>
      </c>
      <c r="B10" s="159" t="s">
        <v>691</v>
      </c>
      <c r="C10" s="297" t="s">
        <v>597</v>
      </c>
      <c r="D10" s="298">
        <v>1</v>
      </c>
      <c r="E10" s="160" t="s">
        <v>158</v>
      </c>
      <c r="F10" s="148" t="s">
        <v>540</v>
      </c>
      <c r="G10" s="150" t="s">
        <v>541</v>
      </c>
      <c r="H10" s="148" t="s">
        <v>542</v>
      </c>
      <c r="I10" s="159" t="s">
        <v>23</v>
      </c>
      <c r="J10" s="163">
        <v>230708</v>
      </c>
      <c r="K10" s="195">
        <v>51133</v>
      </c>
      <c r="L10" s="280">
        <v>0.75</v>
      </c>
      <c r="M10" s="198">
        <v>0.25</v>
      </c>
      <c r="N10" s="154" t="s">
        <v>21</v>
      </c>
      <c r="O10" s="155"/>
      <c r="P10" s="156"/>
      <c r="Q10" s="156" t="s">
        <v>23</v>
      </c>
      <c r="R10" s="156" t="s">
        <v>23</v>
      </c>
      <c r="S10" s="156" t="s">
        <v>102</v>
      </c>
      <c r="T10" s="156" t="s">
        <v>21</v>
      </c>
      <c r="U10" s="156">
        <v>27602</v>
      </c>
      <c r="V10" s="155" t="s">
        <v>692</v>
      </c>
      <c r="W10" s="191" t="s">
        <v>693</v>
      </c>
      <c r="X10" s="159">
        <v>12</v>
      </c>
      <c r="Y10" s="159" t="s">
        <v>518</v>
      </c>
      <c r="Z10" s="157">
        <v>31263.97</v>
      </c>
      <c r="AA10" s="157">
        <f>Z10*$AA$1</f>
        <v>9754.3586400000004</v>
      </c>
      <c r="AB10" s="157">
        <f t="shared" si="4"/>
        <v>41018.32864</v>
      </c>
      <c r="AC10" s="296" t="s">
        <v>678</v>
      </c>
      <c r="AD10" s="292" t="s">
        <v>661</v>
      </c>
      <c r="AE10" s="293">
        <v>41018.33</v>
      </c>
      <c r="AF10" s="284"/>
      <c r="AG10" s="294" t="s">
        <v>694</v>
      </c>
      <c r="AH10" s="284" t="s">
        <v>531</v>
      </c>
      <c r="AI10" s="295" t="s">
        <v>695</v>
      </c>
      <c r="AJ10" s="284">
        <f t="shared" si="2"/>
        <v>9950001330</v>
      </c>
    </row>
    <row r="11" spans="1:36" ht="78">
      <c r="A11" s="148" t="s">
        <v>40</v>
      </c>
      <c r="B11" s="159" t="s">
        <v>691</v>
      </c>
      <c r="C11" s="297" t="s">
        <v>475</v>
      </c>
      <c r="D11" s="298">
        <v>1</v>
      </c>
      <c r="E11" s="160" t="s">
        <v>158</v>
      </c>
      <c r="F11" s="161" t="s">
        <v>696</v>
      </c>
      <c r="G11" s="170" t="s">
        <v>697</v>
      </c>
      <c r="H11" s="300" t="s">
        <v>698</v>
      </c>
      <c r="I11" s="159" t="s">
        <v>23</v>
      </c>
      <c r="J11" s="163">
        <v>230708</v>
      </c>
      <c r="K11" s="195">
        <v>100000</v>
      </c>
      <c r="L11" s="280">
        <v>0.75</v>
      </c>
      <c r="M11" s="198">
        <v>0.25</v>
      </c>
      <c r="N11" s="154" t="s">
        <v>23</v>
      </c>
      <c r="O11" s="155" t="s">
        <v>699</v>
      </c>
      <c r="P11" s="156"/>
      <c r="Q11" s="156" t="s">
        <v>23</v>
      </c>
      <c r="R11" s="156" t="s">
        <v>23</v>
      </c>
      <c r="S11" s="156" t="s">
        <v>102</v>
      </c>
      <c r="T11" s="156" t="s">
        <v>21</v>
      </c>
      <c r="U11" s="156">
        <v>0</v>
      </c>
      <c r="V11" s="191" t="s">
        <v>700</v>
      </c>
      <c r="W11" s="191" t="s">
        <v>693</v>
      </c>
      <c r="X11" s="159">
        <v>12</v>
      </c>
      <c r="Y11" s="159" t="s">
        <v>518</v>
      </c>
      <c r="Z11" s="157">
        <f t="shared" si="3"/>
        <v>36515.5</v>
      </c>
      <c r="AA11" s="157">
        <f t="shared" si="0"/>
        <v>11392.835999999999</v>
      </c>
      <c r="AB11" s="157">
        <f t="shared" si="4"/>
        <v>47908.335999999996</v>
      </c>
      <c r="AC11" s="296" t="s">
        <v>678</v>
      </c>
      <c r="AD11" s="292" t="s">
        <v>655</v>
      </c>
      <c r="AE11" s="293">
        <v>47908.34</v>
      </c>
      <c r="AF11" s="284"/>
      <c r="AG11" s="294" t="s">
        <v>694</v>
      </c>
      <c r="AH11" s="284" t="s">
        <v>531</v>
      </c>
      <c r="AI11" s="295">
        <v>3190306</v>
      </c>
      <c r="AJ11" s="284">
        <f t="shared" si="2"/>
        <v>9950001330</v>
      </c>
    </row>
    <row r="12" spans="1:36" ht="78.599999999999994">
      <c r="A12" s="301" t="s">
        <v>40</v>
      </c>
      <c r="B12" s="159" t="s">
        <v>691</v>
      </c>
      <c r="C12" s="297" t="s">
        <v>701</v>
      </c>
      <c r="D12" s="302">
        <v>1</v>
      </c>
      <c r="E12" s="303" t="s">
        <v>702</v>
      </c>
      <c r="F12" s="304" t="s">
        <v>703</v>
      </c>
      <c r="G12" s="170" t="s">
        <v>704</v>
      </c>
      <c r="H12" s="304" t="s">
        <v>705</v>
      </c>
      <c r="I12" s="304" t="s">
        <v>23</v>
      </c>
      <c r="J12" s="305">
        <v>205000</v>
      </c>
      <c r="K12" s="306">
        <v>109573</v>
      </c>
      <c r="L12" s="307">
        <v>0.75</v>
      </c>
      <c r="M12" s="308">
        <v>0.25</v>
      </c>
      <c r="N12" s="309" t="s">
        <v>21</v>
      </c>
      <c r="O12" s="310"/>
      <c r="P12" s="311"/>
      <c r="Q12" s="311" t="s">
        <v>23</v>
      </c>
      <c r="R12" s="311" t="s">
        <v>23</v>
      </c>
      <c r="S12" s="309" t="s">
        <v>102</v>
      </c>
      <c r="T12" s="311" t="s">
        <v>21</v>
      </c>
      <c r="U12" s="311">
        <v>0</v>
      </c>
      <c r="V12" s="311" t="s">
        <v>21</v>
      </c>
      <c r="W12" s="311" t="s">
        <v>706</v>
      </c>
      <c r="X12" s="304">
        <v>12</v>
      </c>
      <c r="Y12" s="304" t="s">
        <v>518</v>
      </c>
      <c r="Z12" s="157">
        <f t="shared" si="3"/>
        <v>22088.5</v>
      </c>
      <c r="AA12" s="157">
        <f>Z12*$AA$1</f>
        <v>6891.6120000000001</v>
      </c>
      <c r="AB12" s="157">
        <f>Z12+AA12</f>
        <v>28980.112000000001</v>
      </c>
      <c r="AC12" s="312"/>
      <c r="AD12" s="292" t="s">
        <v>655</v>
      </c>
      <c r="AE12" s="293">
        <v>29980.11</v>
      </c>
      <c r="AF12" s="284"/>
      <c r="AG12" s="294" t="s">
        <v>694</v>
      </c>
      <c r="AH12" s="284" t="s">
        <v>531</v>
      </c>
      <c r="AI12" s="295" t="s">
        <v>707</v>
      </c>
      <c r="AJ12" s="284">
        <f t="shared" si="2"/>
        <v>9950001330</v>
      </c>
    </row>
    <row r="13" spans="1:36" ht="91.5">
      <c r="A13" s="301" t="s">
        <v>708</v>
      </c>
      <c r="B13" s="159" t="s">
        <v>709</v>
      </c>
      <c r="C13" s="297" t="s">
        <v>710</v>
      </c>
      <c r="D13" s="302">
        <v>1</v>
      </c>
      <c r="E13" s="303" t="s">
        <v>702</v>
      </c>
      <c r="F13" s="304" t="s">
        <v>711</v>
      </c>
      <c r="G13" s="170" t="s">
        <v>712</v>
      </c>
      <c r="H13" s="304" t="s">
        <v>491</v>
      </c>
      <c r="I13" s="304" t="s">
        <v>23</v>
      </c>
      <c r="J13" s="305">
        <v>225065</v>
      </c>
      <c r="K13" s="306">
        <v>100000</v>
      </c>
      <c r="L13" s="307">
        <v>0.75</v>
      </c>
      <c r="M13" s="308">
        <v>0.25</v>
      </c>
      <c r="N13" s="309" t="s">
        <v>21</v>
      </c>
      <c r="O13" s="310" t="s">
        <v>713</v>
      </c>
      <c r="P13" s="311" t="s">
        <v>713</v>
      </c>
      <c r="Q13" s="311" t="s">
        <v>23</v>
      </c>
      <c r="R13" s="311" t="s">
        <v>23</v>
      </c>
      <c r="S13" s="309" t="s">
        <v>102</v>
      </c>
      <c r="T13" s="311" t="s">
        <v>164</v>
      </c>
      <c r="U13" s="311">
        <v>45131.98</v>
      </c>
      <c r="V13" s="311" t="s">
        <v>23</v>
      </c>
      <c r="W13" s="311" t="s">
        <v>714</v>
      </c>
      <c r="X13" s="304">
        <v>12</v>
      </c>
      <c r="Y13" s="304" t="s">
        <v>518</v>
      </c>
      <c r="Z13" s="157">
        <f t="shared" si="3"/>
        <v>34399.375</v>
      </c>
      <c r="AA13" s="157">
        <f>Z13*$AA$1</f>
        <v>10732.605</v>
      </c>
      <c r="AB13" s="157">
        <f>Z13+AA13</f>
        <v>45131.979999999996</v>
      </c>
      <c r="AC13" s="312" t="s">
        <v>715</v>
      </c>
      <c r="AD13" s="292" t="s">
        <v>655</v>
      </c>
      <c r="AE13" s="293">
        <v>45131.98</v>
      </c>
      <c r="AF13" s="284"/>
      <c r="AG13" s="294" t="s">
        <v>694</v>
      </c>
      <c r="AH13" s="284" t="s">
        <v>531</v>
      </c>
      <c r="AI13" s="295" t="s">
        <v>716</v>
      </c>
      <c r="AJ13" s="284"/>
    </row>
    <row r="14" spans="1:36" ht="78">
      <c r="A14" s="313" t="s">
        <v>717</v>
      </c>
      <c r="B14" s="314" t="s">
        <v>709</v>
      </c>
      <c r="C14" s="314" t="s">
        <v>718</v>
      </c>
      <c r="D14" s="315">
        <v>1</v>
      </c>
      <c r="E14" s="316" t="s">
        <v>702</v>
      </c>
      <c r="F14" s="316" t="s">
        <v>586</v>
      </c>
      <c r="G14" s="317" t="s">
        <v>376</v>
      </c>
      <c r="H14" s="314" t="s">
        <v>494</v>
      </c>
      <c r="I14" s="314" t="s">
        <v>529</v>
      </c>
      <c r="J14" s="318">
        <v>196866.21</v>
      </c>
      <c r="K14" s="319">
        <v>100000</v>
      </c>
      <c r="L14" s="320">
        <v>0.75</v>
      </c>
      <c r="M14" s="321">
        <v>0.23</v>
      </c>
      <c r="N14" s="322" t="s">
        <v>529</v>
      </c>
      <c r="O14" s="323" t="s">
        <v>719</v>
      </c>
      <c r="P14" s="324">
        <v>34781</v>
      </c>
      <c r="Q14" s="324" t="s">
        <v>23</v>
      </c>
      <c r="R14" s="324" t="s">
        <v>23</v>
      </c>
      <c r="S14" s="324" t="s">
        <v>118</v>
      </c>
      <c r="T14" s="324" t="s">
        <v>21</v>
      </c>
      <c r="U14" s="324" t="s">
        <v>23</v>
      </c>
      <c r="V14" s="324" t="s">
        <v>21</v>
      </c>
      <c r="W14" s="324" t="s">
        <v>720</v>
      </c>
      <c r="X14" s="314">
        <v>6</v>
      </c>
      <c r="Y14" s="314" t="s">
        <v>721</v>
      </c>
      <c r="Z14" s="325">
        <f t="shared" si="3"/>
        <v>11912.414375</v>
      </c>
      <c r="AA14" s="325">
        <f t="shared" si="0"/>
        <v>3716.6732850000003</v>
      </c>
      <c r="AB14" s="325">
        <f t="shared" si="4"/>
        <v>15629.087660000001</v>
      </c>
      <c r="AC14" s="326" t="s">
        <v>722</v>
      </c>
      <c r="AD14" s="327" t="s">
        <v>723</v>
      </c>
      <c r="AE14" s="299">
        <v>5209.6899999999996</v>
      </c>
      <c r="AF14" s="284"/>
      <c r="AG14" s="294" t="s">
        <v>724</v>
      </c>
      <c r="AH14" s="284" t="s">
        <v>531</v>
      </c>
      <c r="AI14" s="295" t="s">
        <v>725</v>
      </c>
      <c r="AJ14" s="284" t="str">
        <f t="shared" si="2"/>
        <v xml:space="preserve"> </v>
      </c>
    </row>
    <row r="15" spans="1:36" ht="104.1">
      <c r="A15" s="301" t="s">
        <v>717</v>
      </c>
      <c r="B15" s="304" t="s">
        <v>709</v>
      </c>
      <c r="C15" s="297" t="s">
        <v>726</v>
      </c>
      <c r="D15" s="302">
        <v>1</v>
      </c>
      <c r="E15" s="303" t="s">
        <v>702</v>
      </c>
      <c r="F15" s="303" t="s">
        <v>591</v>
      </c>
      <c r="G15" s="328" t="s">
        <v>548</v>
      </c>
      <c r="H15" s="304" t="s">
        <v>727</v>
      </c>
      <c r="I15" s="304" t="s">
        <v>529</v>
      </c>
      <c r="J15" s="305">
        <v>187785.27</v>
      </c>
      <c r="K15" s="329">
        <v>100000</v>
      </c>
      <c r="L15" s="307">
        <v>0.75</v>
      </c>
      <c r="M15" s="308">
        <v>0.2</v>
      </c>
      <c r="N15" s="309" t="s">
        <v>728</v>
      </c>
      <c r="O15" s="310" t="s">
        <v>21</v>
      </c>
      <c r="P15" s="311" t="s">
        <v>713</v>
      </c>
      <c r="Q15" s="311" t="s">
        <v>23</v>
      </c>
      <c r="R15" s="311" t="s">
        <v>23</v>
      </c>
      <c r="S15" s="311" t="s">
        <v>102</v>
      </c>
      <c r="T15" s="311" t="s">
        <v>21</v>
      </c>
      <c r="U15" s="311" t="s">
        <v>23</v>
      </c>
      <c r="V15" s="311" t="s">
        <v>21</v>
      </c>
      <c r="W15" s="311" t="s">
        <v>729</v>
      </c>
      <c r="X15" s="304">
        <v>12</v>
      </c>
      <c r="Y15" s="304" t="s">
        <v>721</v>
      </c>
      <c r="Z15" s="157">
        <f t="shared" si="3"/>
        <v>20419.476249999992</v>
      </c>
      <c r="AA15" s="157">
        <f t="shared" si="0"/>
        <v>6370.876589999998</v>
      </c>
      <c r="AB15" s="157">
        <f t="shared" si="4"/>
        <v>26790.352839999992</v>
      </c>
      <c r="AC15" s="312"/>
      <c r="AD15" s="330" t="s">
        <v>655</v>
      </c>
      <c r="AE15" s="299">
        <v>26790.35</v>
      </c>
      <c r="AF15" s="284"/>
      <c r="AG15" s="294" t="s">
        <v>724</v>
      </c>
      <c r="AH15" s="284" t="s">
        <v>531</v>
      </c>
      <c r="AI15" s="295" t="s">
        <v>730</v>
      </c>
      <c r="AJ15" s="284" t="str">
        <f t="shared" si="2"/>
        <v xml:space="preserve"> </v>
      </c>
    </row>
    <row r="16" spans="1:36" ht="78">
      <c r="A16" s="301" t="s">
        <v>717</v>
      </c>
      <c r="B16" s="304" t="s">
        <v>709</v>
      </c>
      <c r="C16" s="297" t="s">
        <v>731</v>
      </c>
      <c r="D16" s="302">
        <v>1</v>
      </c>
      <c r="E16" s="303" t="s">
        <v>702</v>
      </c>
      <c r="F16" s="303" t="s">
        <v>583</v>
      </c>
      <c r="G16" s="328" t="s">
        <v>503</v>
      </c>
      <c r="H16" s="304" t="s">
        <v>504</v>
      </c>
      <c r="I16" s="304" t="s">
        <v>529</v>
      </c>
      <c r="J16" s="305">
        <v>195964.21</v>
      </c>
      <c r="K16" s="306">
        <v>100000</v>
      </c>
      <c r="L16" s="307">
        <v>0.75</v>
      </c>
      <c r="M16" s="308">
        <v>0.1842</v>
      </c>
      <c r="N16" s="309" t="s">
        <v>21</v>
      </c>
      <c r="O16" s="310" t="s">
        <v>21</v>
      </c>
      <c r="P16" s="311" t="s">
        <v>713</v>
      </c>
      <c r="Q16" s="311" t="s">
        <v>23</v>
      </c>
      <c r="R16" s="311" t="s">
        <v>23</v>
      </c>
      <c r="S16" s="309" t="s">
        <v>118</v>
      </c>
      <c r="T16" s="311" t="s">
        <v>21</v>
      </c>
      <c r="U16" s="311" t="s">
        <v>23</v>
      </c>
      <c r="V16" s="311" t="s">
        <v>21</v>
      </c>
      <c r="W16" s="311" t="s">
        <v>732</v>
      </c>
      <c r="X16" s="304">
        <v>12</v>
      </c>
      <c r="Y16" s="304" t="s">
        <v>721</v>
      </c>
      <c r="Z16" s="157">
        <f t="shared" si="3"/>
        <v>23486.578750000001</v>
      </c>
      <c r="AA16" s="157">
        <f t="shared" si="0"/>
        <v>7327.8125700000001</v>
      </c>
      <c r="AB16" s="157">
        <f t="shared" si="4"/>
        <v>30814.391320000002</v>
      </c>
      <c r="AC16" s="312" t="s">
        <v>733</v>
      </c>
      <c r="AD16" s="292" t="s">
        <v>655</v>
      </c>
      <c r="AE16" s="293">
        <v>30814.39</v>
      </c>
      <c r="AF16" s="284"/>
      <c r="AG16" s="294" t="s">
        <v>724</v>
      </c>
      <c r="AH16" s="284" t="s">
        <v>531</v>
      </c>
      <c r="AI16" s="295" t="s">
        <v>734</v>
      </c>
      <c r="AJ16" s="284" t="str">
        <f t="shared" si="2"/>
        <v xml:space="preserve"> </v>
      </c>
    </row>
    <row r="17" spans="1:36" ht="78">
      <c r="A17" s="301" t="s">
        <v>717</v>
      </c>
      <c r="B17" s="304" t="s">
        <v>709</v>
      </c>
      <c r="C17" s="297" t="s">
        <v>735</v>
      </c>
      <c r="D17" s="302">
        <v>1</v>
      </c>
      <c r="E17" s="303" t="s">
        <v>702</v>
      </c>
      <c r="F17" s="301" t="s">
        <v>594</v>
      </c>
      <c r="G17" s="328" t="s">
        <v>554</v>
      </c>
      <c r="H17" s="304" t="s">
        <v>555</v>
      </c>
      <c r="I17" s="304" t="s">
        <v>529</v>
      </c>
      <c r="J17" s="305">
        <v>188985.47</v>
      </c>
      <c r="K17" s="329">
        <v>75000</v>
      </c>
      <c r="L17" s="307">
        <v>0.75</v>
      </c>
      <c r="M17" s="308">
        <v>0.23</v>
      </c>
      <c r="N17" s="309" t="s">
        <v>21</v>
      </c>
      <c r="O17" s="310" t="s">
        <v>21</v>
      </c>
      <c r="P17" s="311" t="s">
        <v>713</v>
      </c>
      <c r="Q17" s="311" t="s">
        <v>23</v>
      </c>
      <c r="R17" s="311" t="s">
        <v>23</v>
      </c>
      <c r="S17" s="311" t="s">
        <v>102</v>
      </c>
      <c r="T17" s="311" t="s">
        <v>21</v>
      </c>
      <c r="U17" s="311" t="s">
        <v>23</v>
      </c>
      <c r="V17" s="311" t="s">
        <v>21</v>
      </c>
      <c r="W17" s="311" t="s">
        <v>736</v>
      </c>
      <c r="X17" s="304">
        <v>12</v>
      </c>
      <c r="Y17" s="304" t="s">
        <v>721</v>
      </c>
      <c r="Z17" s="157">
        <f t="shared" si="3"/>
        <v>33369.551250000004</v>
      </c>
      <c r="AA17" s="157">
        <f>Z17*$AA$1</f>
        <v>10411.299990000001</v>
      </c>
      <c r="AB17" s="157">
        <f t="shared" si="4"/>
        <v>43780.851240000004</v>
      </c>
      <c r="AC17" s="312" t="s">
        <v>737</v>
      </c>
      <c r="AD17" s="292" t="s">
        <v>655</v>
      </c>
      <c r="AE17" s="299">
        <v>43780.85</v>
      </c>
      <c r="AF17" s="284"/>
      <c r="AG17" s="294" t="s">
        <v>724</v>
      </c>
      <c r="AH17" s="284" t="s">
        <v>531</v>
      </c>
      <c r="AI17" s="295" t="s">
        <v>738</v>
      </c>
      <c r="AJ17" s="284" t="str">
        <f t="shared" si="2"/>
        <v xml:space="preserve"> </v>
      </c>
    </row>
    <row r="18" spans="1:36" ht="78">
      <c r="A18" s="331" t="s">
        <v>156</v>
      </c>
      <c r="B18" s="332" t="s">
        <v>598</v>
      </c>
      <c r="C18" s="332" t="s">
        <v>599</v>
      </c>
      <c r="D18" s="333"/>
      <c r="E18" s="334" t="s">
        <v>600</v>
      </c>
      <c r="F18" s="332" t="s">
        <v>601</v>
      </c>
      <c r="G18" s="335" t="s">
        <v>602</v>
      </c>
      <c r="H18" s="332" t="s">
        <v>603</v>
      </c>
      <c r="I18" s="332"/>
      <c r="J18" s="194">
        <v>237125</v>
      </c>
      <c r="K18" s="336">
        <v>100000</v>
      </c>
      <c r="L18" s="337">
        <v>0.75</v>
      </c>
      <c r="M18" s="338">
        <v>0.1875</v>
      </c>
      <c r="N18" s="339" t="s">
        <v>23</v>
      </c>
      <c r="O18" s="340" t="s">
        <v>604</v>
      </c>
      <c r="P18" s="341" t="s">
        <v>739</v>
      </c>
      <c r="Q18" s="341" t="s">
        <v>23</v>
      </c>
      <c r="R18" s="341" t="s">
        <v>23</v>
      </c>
      <c r="S18" s="341" t="s">
        <v>102</v>
      </c>
      <c r="T18" s="341"/>
      <c r="U18" s="341">
        <v>38921.879999999997</v>
      </c>
      <c r="V18" s="341" t="s">
        <v>21</v>
      </c>
      <c r="W18" s="341"/>
      <c r="X18" s="331">
        <v>12</v>
      </c>
      <c r="Y18" s="331" t="s">
        <v>518</v>
      </c>
      <c r="Z18" s="192">
        <f t="shared" si="3"/>
        <v>38921.875</v>
      </c>
      <c r="AA18" s="192">
        <f>Z18*$AA$1</f>
        <v>12143.625</v>
      </c>
      <c r="AB18" s="192">
        <f t="shared" si="4"/>
        <v>51065.5</v>
      </c>
      <c r="AC18" s="342"/>
      <c r="AD18" s="343" t="s">
        <v>655</v>
      </c>
      <c r="AE18" s="344">
        <v>34043.67</v>
      </c>
      <c r="AF18" s="284"/>
      <c r="AG18" s="294" t="s">
        <v>740</v>
      </c>
      <c r="AH18" s="284" t="s">
        <v>531</v>
      </c>
      <c r="AI18" s="295" t="s">
        <v>741</v>
      </c>
      <c r="AJ18" s="284">
        <f t="shared" si="2"/>
        <v>9950001330</v>
      </c>
    </row>
    <row r="19" spans="1:36" ht="143.1">
      <c r="A19" s="148" t="s">
        <v>156</v>
      </c>
      <c r="B19" s="148" t="s">
        <v>598</v>
      </c>
      <c r="C19" s="290" t="s">
        <v>605</v>
      </c>
      <c r="D19" s="149">
        <v>1</v>
      </c>
      <c r="E19" s="149" t="s">
        <v>600</v>
      </c>
      <c r="F19" s="148" t="s">
        <v>606</v>
      </c>
      <c r="G19" s="150" t="s">
        <v>607</v>
      </c>
      <c r="H19" s="148" t="s">
        <v>742</v>
      </c>
      <c r="I19" s="148" t="s">
        <v>21</v>
      </c>
      <c r="J19" s="187">
        <v>168921</v>
      </c>
      <c r="K19" s="188">
        <v>100000</v>
      </c>
      <c r="L19" s="280">
        <v>0.75</v>
      </c>
      <c r="M19" s="345">
        <v>0.25</v>
      </c>
      <c r="N19" s="154" t="s">
        <v>21</v>
      </c>
      <c r="O19" s="155" t="s">
        <v>604</v>
      </c>
      <c r="P19" s="154">
        <v>0</v>
      </c>
      <c r="Q19" s="154" t="s">
        <v>23</v>
      </c>
      <c r="R19" s="154" t="s">
        <v>23</v>
      </c>
      <c r="S19" s="154" t="s">
        <v>102</v>
      </c>
      <c r="T19" s="154"/>
      <c r="U19" s="156" t="s">
        <v>23</v>
      </c>
      <c r="V19" s="156" t="s">
        <v>23</v>
      </c>
      <c r="W19" s="154"/>
      <c r="X19" s="301">
        <v>2</v>
      </c>
      <c r="Y19" s="301" t="s">
        <v>519</v>
      </c>
      <c r="Z19" s="157">
        <f t="shared" si="3"/>
        <v>2224.2291666666665</v>
      </c>
      <c r="AA19" s="157">
        <f t="shared" si="0"/>
        <v>693.95949999999993</v>
      </c>
      <c r="AB19" s="157">
        <f t="shared" si="4"/>
        <v>2918.1886666666664</v>
      </c>
      <c r="AC19" s="312"/>
      <c r="AD19" s="292" t="s">
        <v>743</v>
      </c>
      <c r="AE19" s="293">
        <v>2918.25</v>
      </c>
      <c r="AF19" s="284"/>
      <c r="AG19" s="294" t="s">
        <v>740</v>
      </c>
      <c r="AH19" s="284" t="s">
        <v>531</v>
      </c>
      <c r="AI19" s="295" t="s">
        <v>744</v>
      </c>
      <c r="AJ19" s="284">
        <f t="shared" si="2"/>
        <v>9950001348</v>
      </c>
    </row>
    <row r="20" spans="1:36" ht="143.1">
      <c r="A20" s="148" t="s">
        <v>156</v>
      </c>
      <c r="B20" s="148" t="s">
        <v>598</v>
      </c>
      <c r="C20" s="290" t="s">
        <v>610</v>
      </c>
      <c r="D20" s="149">
        <v>1</v>
      </c>
      <c r="E20" s="149" t="s">
        <v>600</v>
      </c>
      <c r="F20" s="148" t="s">
        <v>611</v>
      </c>
      <c r="G20" s="150" t="s">
        <v>612</v>
      </c>
      <c r="H20" s="148" t="s">
        <v>745</v>
      </c>
      <c r="I20" s="148" t="s">
        <v>23</v>
      </c>
      <c r="J20" s="187">
        <v>229000</v>
      </c>
      <c r="K20" s="188">
        <v>100000</v>
      </c>
      <c r="L20" s="280">
        <v>0.75</v>
      </c>
      <c r="M20" s="345">
        <v>0.21210000000000001</v>
      </c>
      <c r="N20" s="154" t="s">
        <v>21</v>
      </c>
      <c r="O20" s="155" t="s">
        <v>604</v>
      </c>
      <c r="P20" s="154" t="s">
        <v>746</v>
      </c>
      <c r="Q20" s="154" t="s">
        <v>23</v>
      </c>
      <c r="R20" s="154" t="s">
        <v>23</v>
      </c>
      <c r="S20" s="154" t="s">
        <v>118</v>
      </c>
      <c r="T20" s="154"/>
      <c r="U20" s="156" t="s">
        <v>21</v>
      </c>
      <c r="V20" s="156" t="s">
        <v>21</v>
      </c>
      <c r="W20" s="154"/>
      <c r="X20" s="301">
        <v>12</v>
      </c>
      <c r="Y20" s="301" t="s">
        <v>519</v>
      </c>
      <c r="Z20" s="157">
        <f t="shared" si="3"/>
        <v>35875</v>
      </c>
      <c r="AA20" s="157">
        <f t="shared" si="0"/>
        <v>11193</v>
      </c>
      <c r="AB20" s="157">
        <f t="shared" si="4"/>
        <v>47068</v>
      </c>
      <c r="AC20" s="296"/>
      <c r="AD20" s="292" t="s">
        <v>655</v>
      </c>
      <c r="AE20" s="293">
        <v>47068</v>
      </c>
      <c r="AF20" s="284"/>
      <c r="AG20" s="294" t="s">
        <v>740</v>
      </c>
      <c r="AH20" s="284" t="s">
        <v>531</v>
      </c>
      <c r="AI20" s="295" t="s">
        <v>747</v>
      </c>
      <c r="AJ20" s="284">
        <f t="shared" si="2"/>
        <v>9950001348</v>
      </c>
    </row>
    <row r="21" spans="1:36" ht="90.95">
      <c r="A21" s="148" t="s">
        <v>156</v>
      </c>
      <c r="B21" s="148" t="s">
        <v>598</v>
      </c>
      <c r="C21" s="290" t="s">
        <v>614</v>
      </c>
      <c r="D21" s="149">
        <v>1</v>
      </c>
      <c r="E21" s="149" t="s">
        <v>600</v>
      </c>
      <c r="F21" s="148" t="s">
        <v>615</v>
      </c>
      <c r="G21" s="150" t="s">
        <v>440</v>
      </c>
      <c r="H21" s="148" t="s">
        <v>616</v>
      </c>
      <c r="I21" s="148" t="s">
        <v>23</v>
      </c>
      <c r="J21" s="187">
        <v>231900</v>
      </c>
      <c r="K21" s="188">
        <v>100000</v>
      </c>
      <c r="L21" s="280">
        <v>0.75</v>
      </c>
      <c r="M21" s="345">
        <v>0.2</v>
      </c>
      <c r="N21" s="154" t="s">
        <v>23</v>
      </c>
      <c r="O21" s="155" t="s">
        <v>604</v>
      </c>
      <c r="P21" s="154" t="s">
        <v>748</v>
      </c>
      <c r="Q21" s="154" t="s">
        <v>23</v>
      </c>
      <c r="R21" s="154" t="s">
        <v>23</v>
      </c>
      <c r="S21" s="154" t="s">
        <v>102</v>
      </c>
      <c r="T21" s="154"/>
      <c r="U21" s="191" t="s">
        <v>21</v>
      </c>
      <c r="V21" s="156" t="s">
        <v>23</v>
      </c>
      <c r="W21" s="154"/>
      <c r="X21" s="301">
        <v>10</v>
      </c>
      <c r="Y21" s="301" t="s">
        <v>519</v>
      </c>
      <c r="Z21" s="157">
        <f t="shared" si="3"/>
        <v>30802.083333333332</v>
      </c>
      <c r="AA21" s="157">
        <f>Z21*$AA$1</f>
        <v>9610.25</v>
      </c>
      <c r="AB21" s="157">
        <f t="shared" si="4"/>
        <v>40412.333333333328</v>
      </c>
      <c r="AC21" s="291"/>
      <c r="AD21" s="346" t="s">
        <v>655</v>
      </c>
      <c r="AE21" s="299">
        <v>40412.33</v>
      </c>
      <c r="AF21" s="284"/>
      <c r="AG21" s="294" t="s">
        <v>740</v>
      </c>
      <c r="AH21" s="284" t="s">
        <v>531</v>
      </c>
      <c r="AI21" s="295" t="s">
        <v>749</v>
      </c>
      <c r="AJ21" s="284">
        <f t="shared" si="2"/>
        <v>9950001348</v>
      </c>
    </row>
    <row r="22" spans="1:36" ht="90.95">
      <c r="A22" s="290" t="s">
        <v>40</v>
      </c>
      <c r="B22" s="297" t="s">
        <v>750</v>
      </c>
      <c r="C22" s="297" t="s">
        <v>751</v>
      </c>
      <c r="D22" s="347">
        <v>1</v>
      </c>
      <c r="E22" s="348" t="s">
        <v>702</v>
      </c>
      <c r="F22" s="349" t="s">
        <v>752</v>
      </c>
      <c r="G22" s="349" t="s">
        <v>753</v>
      </c>
      <c r="H22" s="350">
        <v>45901</v>
      </c>
      <c r="I22" s="297" t="s">
        <v>23</v>
      </c>
      <c r="J22" s="351">
        <v>225065</v>
      </c>
      <c r="K22" s="352">
        <v>100000</v>
      </c>
      <c r="L22" s="353">
        <v>0.75</v>
      </c>
      <c r="M22" s="354">
        <v>0.25</v>
      </c>
      <c r="N22" s="355" t="s">
        <v>21</v>
      </c>
      <c r="O22" s="356"/>
      <c r="P22" s="357"/>
      <c r="Q22" s="357" t="s">
        <v>23</v>
      </c>
      <c r="R22" s="357" t="s">
        <v>23</v>
      </c>
      <c r="S22" s="357" t="s">
        <v>102</v>
      </c>
      <c r="T22" s="357" t="s">
        <v>21</v>
      </c>
      <c r="U22" s="357">
        <v>0</v>
      </c>
      <c r="V22" s="358" t="s">
        <v>21</v>
      </c>
      <c r="W22" s="358"/>
      <c r="X22" s="297">
        <v>9</v>
      </c>
      <c r="Y22" s="297" t="s">
        <v>518</v>
      </c>
      <c r="Z22" s="157">
        <f t="shared" si="3"/>
        <v>25799.53125</v>
      </c>
      <c r="AA22" s="157">
        <f>Z22*$AA$1</f>
        <v>8049.4537499999997</v>
      </c>
      <c r="AB22" s="157">
        <f>Z22+AA22</f>
        <v>33848.985000000001</v>
      </c>
      <c r="AC22" s="193" t="s">
        <v>754</v>
      </c>
      <c r="AD22" s="292" t="s">
        <v>687</v>
      </c>
      <c r="AE22" s="293">
        <v>45131.98</v>
      </c>
      <c r="AF22" s="284"/>
      <c r="AG22" s="294" t="s">
        <v>694</v>
      </c>
      <c r="AH22" s="284" t="s">
        <v>531</v>
      </c>
      <c r="AI22" s="295" t="s">
        <v>755</v>
      </c>
      <c r="AJ22" s="284"/>
    </row>
    <row r="23" spans="1:36" ht="90.95">
      <c r="A23" s="359" t="s">
        <v>40</v>
      </c>
      <c r="B23" s="360" t="s">
        <v>750</v>
      </c>
      <c r="C23" s="361" t="s">
        <v>756</v>
      </c>
      <c r="D23" s="362">
        <v>1</v>
      </c>
      <c r="E23" s="363" t="s">
        <v>702</v>
      </c>
      <c r="F23" s="364" t="s">
        <v>752</v>
      </c>
      <c r="G23" s="364" t="s">
        <v>757</v>
      </c>
      <c r="H23" s="365" t="s">
        <v>752</v>
      </c>
      <c r="I23" s="360" t="s">
        <v>23</v>
      </c>
      <c r="J23" s="366">
        <v>223988</v>
      </c>
      <c r="K23" s="367">
        <v>100000</v>
      </c>
      <c r="L23" s="368">
        <v>0.75</v>
      </c>
      <c r="M23" s="369">
        <v>0.25</v>
      </c>
      <c r="N23" s="370" t="s">
        <v>21</v>
      </c>
      <c r="O23" s="371"/>
      <c r="P23" s="372"/>
      <c r="Q23" s="372" t="s">
        <v>23</v>
      </c>
      <c r="R23" s="372" t="s">
        <v>23</v>
      </c>
      <c r="S23" s="372" t="s">
        <v>102</v>
      </c>
      <c r="T23" s="372" t="s">
        <v>21</v>
      </c>
      <c r="U23" s="372">
        <v>0</v>
      </c>
      <c r="V23" s="373" t="s">
        <v>246</v>
      </c>
      <c r="W23" s="373"/>
      <c r="X23" s="360">
        <v>12</v>
      </c>
      <c r="Y23" s="360" t="s">
        <v>518</v>
      </c>
      <c r="Z23" s="374">
        <f t="shared" si="3"/>
        <v>33995.5</v>
      </c>
      <c r="AA23" s="374">
        <f>Z23*$AA$1</f>
        <v>10606.596</v>
      </c>
      <c r="AB23" s="374">
        <f>Z23+AA23</f>
        <v>44602.095999999998</v>
      </c>
      <c r="AC23" s="193" t="s">
        <v>754</v>
      </c>
      <c r="AD23" s="292" t="s">
        <v>687</v>
      </c>
      <c r="AE23" s="293">
        <v>44602.1</v>
      </c>
      <c r="AF23" s="284"/>
      <c r="AG23" s="294" t="s">
        <v>694</v>
      </c>
      <c r="AH23" s="284" t="s">
        <v>531</v>
      </c>
      <c r="AI23" s="295">
        <v>3191514</v>
      </c>
      <c r="AJ23" s="284"/>
    </row>
    <row r="24" spans="1:36">
      <c r="A24" s="301"/>
      <c r="B24" s="328"/>
      <c r="C24" s="301"/>
      <c r="D24" s="375"/>
      <c r="E24" s="376"/>
      <c r="F24" s="301"/>
      <c r="G24" s="377"/>
      <c r="H24" s="301"/>
      <c r="I24" s="301"/>
      <c r="J24" s="305"/>
      <c r="K24" s="329"/>
      <c r="L24" s="307"/>
      <c r="M24" s="308"/>
      <c r="N24" s="309"/>
      <c r="O24" s="310"/>
      <c r="P24" s="311"/>
      <c r="Q24" s="311"/>
      <c r="R24" s="311"/>
      <c r="S24" s="311"/>
      <c r="T24" s="311"/>
      <c r="U24" s="378"/>
      <c r="V24" s="378"/>
      <c r="W24" s="311"/>
      <c r="X24" s="301"/>
      <c r="Y24" s="301"/>
      <c r="Z24" s="157">
        <f t="shared" si="3"/>
        <v>0</v>
      </c>
      <c r="AA24" s="157">
        <f>Z24*$AA$1</f>
        <v>0</v>
      </c>
      <c r="AB24" s="157">
        <f t="shared" si="4"/>
        <v>0</v>
      </c>
      <c r="AC24" s="296"/>
      <c r="AD24" s="292"/>
      <c r="AE24" s="299"/>
      <c r="AF24" s="284"/>
      <c r="AG24" s="294"/>
      <c r="AH24" s="284"/>
      <c r="AI24" s="295"/>
      <c r="AJ24" s="284" t="str">
        <f t="shared" si="2"/>
        <v xml:space="preserve"> </v>
      </c>
    </row>
    <row r="25" spans="1:36">
      <c r="A25" s="301"/>
      <c r="B25" s="328"/>
      <c r="C25" s="301"/>
      <c r="D25" s="375"/>
      <c r="E25" s="376"/>
      <c r="F25" s="301"/>
      <c r="G25" s="379"/>
      <c r="H25" s="301"/>
      <c r="I25" s="301"/>
      <c r="J25" s="305"/>
      <c r="K25" s="329"/>
      <c r="L25" s="307"/>
      <c r="M25" s="308"/>
      <c r="N25" s="309"/>
      <c r="O25" s="310"/>
      <c r="P25" s="311"/>
      <c r="Q25" s="311"/>
      <c r="R25" s="311"/>
      <c r="S25" s="311"/>
      <c r="T25" s="311"/>
      <c r="U25" s="311"/>
      <c r="V25" s="378"/>
      <c r="W25" s="311"/>
      <c r="X25" s="301"/>
      <c r="Y25" s="301"/>
      <c r="Z25" s="157">
        <f t="shared" si="3"/>
        <v>0</v>
      </c>
      <c r="AA25" s="157">
        <f>Z25*$AA$1</f>
        <v>0</v>
      </c>
      <c r="AB25" s="157">
        <f t="shared" si="4"/>
        <v>0</v>
      </c>
      <c r="AC25" s="296"/>
      <c r="AD25" s="292"/>
      <c r="AE25" s="299"/>
      <c r="AF25" s="284"/>
      <c r="AG25" s="294"/>
      <c r="AH25" s="284"/>
      <c r="AI25" s="295"/>
      <c r="AJ25" s="284" t="str">
        <f t="shared" si="2"/>
        <v xml:space="preserve"> </v>
      </c>
    </row>
    <row r="26" spans="1:36">
      <c r="Z26" s="19"/>
      <c r="AA26" s="19"/>
      <c r="AB26" s="19"/>
    </row>
    <row r="27" spans="1:36">
      <c r="W27" s="182" t="s">
        <v>413</v>
      </c>
      <c r="Z27" s="183">
        <f>SUM(Z3:Z26)</f>
        <v>528092.67551249999</v>
      </c>
      <c r="AA27" s="183">
        <f>SUM(AA3:AA26)</f>
        <v>164764.91475989996</v>
      </c>
      <c r="AB27" s="183">
        <f>SUM(AB3:AB26)</f>
        <v>692857.59027240006</v>
      </c>
      <c r="AE27" s="380">
        <f>SUM(AE3:AE23)</f>
        <v>636681.09999999986</v>
      </c>
    </row>
    <row r="28" spans="1:36">
      <c r="Z28" s="19"/>
      <c r="AA28" s="19"/>
      <c r="AB28" s="19"/>
    </row>
    <row r="29" spans="1:36">
      <c r="Z29" s="19"/>
      <c r="AA29" s="19"/>
      <c r="AB29" s="19"/>
      <c r="AE29" s="381" t="s">
        <v>758</v>
      </c>
    </row>
    <row r="30" spans="1:36">
      <c r="Z30" s="19"/>
      <c r="AA30" s="382" t="s">
        <v>759</v>
      </c>
      <c r="AB30" s="382">
        <f>MEDIAN(AB3:AB21)</f>
        <v>40412.333333333328</v>
      </c>
      <c r="AC30" t="s">
        <v>760</v>
      </c>
      <c r="AE30" s="381">
        <f>MEDIAN(AE7:AE23)</f>
        <v>40715.33</v>
      </c>
    </row>
    <row r="31" spans="1:36">
      <c r="Z31" s="19"/>
      <c r="AA31" s="19"/>
      <c r="AB31" s="19"/>
    </row>
    <row r="32" spans="1:36" ht="18">
      <c r="A32" s="33" t="s">
        <v>136</v>
      </c>
      <c r="B32" s="33"/>
      <c r="C32" s="34"/>
      <c r="D32" s="34"/>
      <c r="E32" s="34"/>
      <c r="Z32" s="19"/>
      <c r="AA32" s="19"/>
      <c r="AB32" s="19"/>
    </row>
    <row r="33" spans="1:28" ht="18">
      <c r="A33" s="33"/>
      <c r="B33" s="33"/>
      <c r="C33" s="34"/>
      <c r="D33" s="34"/>
      <c r="E33" s="34"/>
      <c r="Z33" s="19"/>
      <c r="AA33" s="19"/>
      <c r="AB33" s="19"/>
    </row>
    <row r="34" spans="1:28">
      <c r="A34" s="35" t="s">
        <v>137</v>
      </c>
      <c r="B34" s="35"/>
      <c r="C34" s="34"/>
      <c r="D34" s="34"/>
      <c r="E34" s="34"/>
      <c r="Z34" s="19"/>
      <c r="AA34" s="19"/>
      <c r="AB34" s="19"/>
    </row>
    <row r="35" spans="1:28">
      <c r="A35" s="35" t="s">
        <v>138</v>
      </c>
      <c r="B35" s="35"/>
      <c r="C35" s="34"/>
      <c r="D35" s="34"/>
      <c r="E35" s="34"/>
      <c r="Z35" s="19"/>
      <c r="AA35" s="19"/>
      <c r="AB35" s="19"/>
    </row>
    <row r="36" spans="1:28">
      <c r="A36" s="35" t="s">
        <v>139</v>
      </c>
      <c r="B36" s="35"/>
      <c r="C36" s="34"/>
      <c r="D36" s="34"/>
      <c r="E36" s="34"/>
      <c r="Z36" s="19"/>
      <c r="AA36" s="19"/>
      <c r="AB36" s="19"/>
    </row>
    <row r="37" spans="1:28">
      <c r="A37" s="35" t="s">
        <v>140</v>
      </c>
      <c r="B37" s="35"/>
      <c r="C37" s="34"/>
      <c r="D37" s="34"/>
      <c r="E37" s="34"/>
      <c r="Z37" s="19"/>
      <c r="AA37" s="19"/>
      <c r="AB37" s="19"/>
    </row>
    <row r="38" spans="1:28">
      <c r="A38" s="35" t="s">
        <v>141</v>
      </c>
      <c r="B38" s="35"/>
      <c r="C38" s="34"/>
      <c r="D38" s="34"/>
      <c r="E38" s="34"/>
      <c r="Z38" s="19"/>
      <c r="AA38" s="19"/>
      <c r="AB38" s="19"/>
    </row>
    <row r="39" spans="1:28">
      <c r="A39" s="35" t="s">
        <v>761</v>
      </c>
      <c r="B39" s="35"/>
      <c r="C39" s="34"/>
      <c r="D39" s="34"/>
      <c r="E39" s="34"/>
      <c r="Z39" s="19"/>
      <c r="AA39" s="19"/>
      <c r="AB39" s="19"/>
    </row>
    <row r="40" spans="1:28">
      <c r="A40" s="35" t="s">
        <v>762</v>
      </c>
      <c r="B40" s="35"/>
      <c r="C40" s="34"/>
      <c r="D40" s="34"/>
      <c r="E40" s="34"/>
      <c r="Z40" s="19"/>
      <c r="AA40" s="19"/>
      <c r="AB40" s="19"/>
    </row>
    <row r="41" spans="1:28">
      <c r="A41" s="35" t="s">
        <v>144</v>
      </c>
      <c r="B41" s="35"/>
      <c r="C41" s="34"/>
      <c r="D41" s="34"/>
      <c r="E41" s="34"/>
      <c r="Z41" s="19"/>
      <c r="AA41" s="19"/>
      <c r="AB41" s="19"/>
    </row>
    <row r="42" spans="1:28">
      <c r="A42" s="35" t="s">
        <v>145</v>
      </c>
      <c r="B42" s="35"/>
      <c r="C42" s="34"/>
      <c r="D42" s="34"/>
      <c r="E42" s="34"/>
      <c r="Z42" s="19"/>
      <c r="AA42" s="19"/>
      <c r="AB42" s="19"/>
    </row>
    <row r="43" spans="1:28">
      <c r="A43" s="36" t="s">
        <v>146</v>
      </c>
      <c r="B43" s="36"/>
      <c r="C43" s="34"/>
      <c r="D43" s="34"/>
      <c r="E43" s="34"/>
      <c r="Z43" s="19"/>
      <c r="AA43" s="19"/>
      <c r="AB43" s="19"/>
    </row>
    <row r="44" spans="1:28">
      <c r="Z44" s="19"/>
      <c r="AA44" s="19"/>
      <c r="AB44" s="19"/>
    </row>
    <row r="45" spans="1:28">
      <c r="Z45" s="19"/>
      <c r="AA45" s="19"/>
      <c r="AB45" s="19"/>
    </row>
    <row r="46" spans="1:28">
      <c r="Z46" s="19"/>
      <c r="AA46" s="19"/>
      <c r="AB46" s="19"/>
    </row>
    <row r="47" spans="1:28">
      <c r="Z47" s="19"/>
      <c r="AA47" s="19"/>
      <c r="AB47" s="19"/>
    </row>
    <row r="48" spans="1:28">
      <c r="Z48" s="19"/>
      <c r="AA48" s="19"/>
      <c r="AB48" s="19"/>
    </row>
    <row r="49" spans="26:28">
      <c r="Z49" s="19"/>
      <c r="AA49" s="19"/>
      <c r="AB49" s="19"/>
    </row>
    <row r="50" spans="26:28">
      <c r="Z50" s="19"/>
      <c r="AA50" s="19"/>
      <c r="AB50" s="19"/>
    </row>
  </sheetData>
  <autoFilter ref="A2:AB25" xr:uid="{00000000-0009-0000-0000-00000A000000}"/>
  <dataValidations count="1">
    <dataValidation type="list" allowBlank="1" showInputMessage="1" showErrorMessage="1" sqref="Y3:Y25" xr:uid="{00000000-0002-0000-0A00-000000000000}">
      <formula1>"Clinical, Research"</formula1>
    </dataValidation>
  </dataValidations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C30A6B40A07D4AA7F37107601104B1" ma:contentTypeVersion="11" ma:contentTypeDescription="Create a new document." ma:contentTypeScope="" ma:versionID="d0796214685049a7514c399f2f5fadd6">
  <xsd:schema xmlns:xsd="http://www.w3.org/2001/XMLSchema" xmlns:xs="http://www.w3.org/2001/XMLSchema" xmlns:p="http://schemas.microsoft.com/office/2006/metadata/properties" xmlns:ns3="1c2bd9bd-4c3e-4d84-a7c6-c111b31168ae" targetNamespace="http://schemas.microsoft.com/office/2006/metadata/properties" ma:root="true" ma:fieldsID="7335ede6bba53c32cd6f443d73f53fb5" ns3:_="">
    <xsd:import namespace="1c2bd9bd-4c3e-4d84-a7c6-c111b31168a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bd9bd-4c3e-4d84-a7c6-c111b31168a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2bd9bd-4c3e-4d84-a7c6-c111b31168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83AC8A-D52D-4E75-822F-4E806B23BD5F}"/>
</file>

<file path=customXml/itemProps2.xml><?xml version="1.0" encoding="utf-8"?>
<ds:datastoreItem xmlns:ds="http://schemas.openxmlformats.org/officeDocument/2006/customXml" ds:itemID="{076C4CFE-8FDC-4716-A4AA-D9B5056773A3}"/>
</file>

<file path=customXml/itemProps3.xml><?xml version="1.0" encoding="utf-8"?>
<ds:datastoreItem xmlns:ds="http://schemas.openxmlformats.org/officeDocument/2006/customXml" ds:itemID="{410FF131-505B-436C-ACDE-B2B8C65D82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Brooks, Takiesha</dc:creator>
  <cp:keywords/>
  <dc:description/>
  <cp:lastModifiedBy>Grenier, Colleen</cp:lastModifiedBy>
  <cp:revision/>
  <dcterms:created xsi:type="dcterms:W3CDTF">2026-04-08T15:39:59Z</dcterms:created>
  <dcterms:modified xsi:type="dcterms:W3CDTF">2026-04-16T15:09:54Z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0x01010089C30A6B40A07D4AA7F37107601104B1</vt:lpwstr>
  </property>
</Properties>
</file>